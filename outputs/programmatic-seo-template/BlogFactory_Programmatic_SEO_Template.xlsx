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624e9a248c4f3e" /></Relationships>
</file>

<file path=xl/workbook.xml><?xml version="1.0" encoding="utf-8"?>
<x:workbook xmlns:x="http://schemas.openxmlformats.org/spreadsheetml/2006/main">
  <x:sheets>
    <x:sheet xmlns:r="http://schemas.openxmlformats.org/officeDocument/2006/relationships" name="Campaign_Overview" sheetId="1" r:id="Rbf094c82aedd4aa2"/>
    <x:sheet xmlns:r="http://schemas.openxmlformats.org/officeDocument/2006/relationships" name="Import_Brief" sheetId="2" r:id="R5fb7fca37ff4437e"/>
    <x:sheet xmlns:r="http://schemas.openxmlformats.org/officeDocument/2006/relationships" name="SEO_Strategy" sheetId="3" r:id="R512cb3f314304972"/>
    <x:sheet xmlns:r="http://schemas.openxmlformats.org/officeDocument/2006/relationships" name="Source_Library" sheetId="4" r:id="R9e0c334bf5ca476c"/>
    <x:sheet xmlns:r="http://schemas.openxmlformats.org/officeDocument/2006/relationships" name="Campaign_Rules" sheetId="5" r:id="R8bad4a50d56548d3"/>
    <x:sheet xmlns:r="http://schemas.openxmlformats.org/officeDocument/2006/relationships" name="Programmatic_SEO_Template" sheetId="6" r:id="R6385eaf05124413f"/>
    <x:sheet xmlns:r="http://schemas.openxmlformats.org/officeDocument/2006/relationships" name="BlogFactory_Import" sheetId="7" r:id="Ra3582cddc5e6445e"/>
    <x:sheet xmlns:r="http://schemas.openxmlformats.org/officeDocument/2006/relationships" name="Template_Guide" sheetId="8" r:id="R58d30a7e949746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5">
    <x:font>
      <x:sz val="11"/>
      <x:name val="Carlito"/>
    </x:font>
    <x:font>
      <x:b/>
      <x:sz val="18"/>
      <x:color rgb="FFFFFFFF"/>
      <x:name val="Carlito"/>
    </x:font>
    <x:font>
      <x:b/>
      <x:sz val="11"/>
      <x:color rgb="FF7C3AED"/>
      <x:name val="Carlito"/>
    </x:font>
    <x:font>
      <x:b/>
      <x:sz val="11"/>
      <x:color rgb="FFFF4D1C"/>
      <x:name val="Carlito"/>
    </x:font>
    <x:font>
      <x:b/>
      <x:sz val="11"/>
      <x:color rgb="FFFFFFFF"/>
      <x:name val="Carlito"/>
    </x:font>
    <x:font>
      <x:b/>
      <x:sz val="13"/>
      <x:color rgb="FFFFFFFF"/>
      <x:name val="Carlito"/>
    </x:font>
    <x:font>
      <x:sz val="11"/>
      <x:color rgb="FF111827"/>
      <x:name val="Carlito"/>
    </x:font>
    <x:font>
      <x:sz val="10"/>
      <x:color rgb="FF111827"/>
      <x:name val="Carlito"/>
    </x:font>
    <x:font>
      <x:b/>
      <x:sz val="10"/>
      <x:color rgb="FFFFFFFF"/>
      <x:name val="Carlito"/>
    </x:font>
    <x:font>
      <x:sz val="9"/>
      <x:color rgb="FF111827"/>
      <x:name val="Carlito"/>
    </x:font>
    <x:font>
      <x:sz val="10"/>
      <x:name val="Carlito"/>
    </x:font>
    <x:font>
      <x:sz val="10"/>
      <x:color rgb="FF2563EB"/>
      <x:name val="Carlito"/>
    </x:font>
    <x:font>
      <x:b/>
      <x:sz val="11"/>
      <x:color rgb="FF111827"/>
      <x:name val="Carlito"/>
    </x:font>
    <x:font>
      <x:b/>
      <x:sz val="11"/>
      <x:color rgb="FFF97316"/>
      <x:name val="Carlito"/>
    </x:font>
    <x:font>
      <x:b/>
      <x:sz val="11"/>
      <x:color rgb="FF2563EB"/>
      <x:name val="Carlito"/>
    </x:font>
  </x:fonts>
  <x:fills count="15">
    <x:fill>
      <x:patternFill patternType="none"/>
    </x:fill>
    <x:fill>
      <x:patternFill patternType="gray125"/>
    </x:fill>
    <x:fill>
      <x:patternFill patternType="solid">
        <x:fgColor rgb="FF0B1020"/>
      </x:patternFill>
    </x:fill>
    <x:fill>
      <x:patternFill patternType="solid">
        <x:fgColor rgb="FFF3E8FF"/>
      </x:patternFill>
    </x:fill>
    <x:fill>
      <x:patternFill patternType="solid">
        <x:fgColor rgb="FFFFF1EB"/>
      </x:patternFill>
    </x:fill>
    <x:fill>
      <x:patternFill patternType="solid">
        <x:fgColor rgb="FF7C3AED"/>
      </x:patternFill>
    </x:fill>
    <x:fill>
      <x:patternFill patternType="solid">
        <x:fgColor rgb="FFFF4D1C"/>
      </x:patternFill>
    </x:fill>
    <x:fill>
      <x:patternFill patternType="solid">
        <x:fgColor rgb="FFFFF7ED"/>
      </x:patternFill>
    </x:fill>
    <x:fill>
      <x:patternFill patternType="solid">
        <x:fgColor rgb="FFFAFAFF"/>
      </x:patternFill>
    </x:fill>
    <x:fill>
      <x:patternFill patternType="solid">
        <x:fgColor rgb="FFFFFBF7"/>
      </x:patternFill>
    </x:fill>
    <x:fill>
      <x:patternFill patternType="solid">
        <x:fgColor rgb="FFF97316"/>
      </x:patternFill>
    </x:fill>
    <x:fill>
      <x:patternFill patternType="solid">
        <x:fgColor rgb="FF111827"/>
      </x:patternFill>
    </x:fill>
    <x:fill>
      <x:patternFill patternType="solid">
        <x:fgColor rgb="FF2563EB"/>
      </x:patternFill>
    </x:fill>
    <x:fill>
      <x:patternFill patternType="solid">
        <x:fgColor rgb="FFFFF7ED"/>
      </x:patternFill>
    </x:fill>
    <x:fill>
      <x:patternFill patternType="solid">
        <x:fgColor rgb="FFEFF6FF"/>
      </x:patternFill>
    </x:fill>
  </x:fills>
  <x:borders count="3">
    <x:border/>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1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5" fillId="6" borderId="0"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0" fillId="0" borderId="0"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6" borderId="0" xfId="0" applyNumberFormat="1" applyFont="1" applyFill="1" applyBorder="1" applyAlignment="1">
      <x:alignment horizontal="center" wrapText="1"/>
    </x:xf>
    <x:xf numFmtId="0" fontId="5" fillId="6"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200" fontId="0" fillId="0"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6" borderId="1" xfId="0" applyNumberFormat="1" applyFont="1" applyFill="1" applyBorder="1" applyAlignment="1">
      <x:alignment horizontal="center" wrapText="1"/>
    </x:xf>
    <x:xf numFmtId="0" fontId="5" fillId="6" borderId="1"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8" fillId="5" borderId="1" xfId="0" applyNumberFormat="1" applyFont="1" applyFill="1" applyBorder="1"/>
    <x:xf numFmtId="0" fontId="8" fillId="5" borderId="1" xfId="0" applyNumberFormat="1" applyFont="1" applyFill="1" applyBorder="1" applyAlignment="1">
      <x:alignment wrapText="1"/>
    </x:xf>
    <x:xf numFmtId="0" fontId="8" fillId="5" borderId="1" xfId="0" applyNumberFormat="1" applyFont="1" applyFill="1" applyBorder="1" applyAlignment="1">
      <x:alignment horizontal="center" wrapText="1"/>
    </x:xf>
    <x:xf numFmtId="0" fontId="8" fillId="5"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0" borderId="0" xfId="0" applyNumberFormat="1" applyFont="1" applyFill="1" applyBorder="1" applyAlignment="1">
      <x:alignment horizontal="center" vertical="top" wrapText="1"/>
    </x:xf>
    <x:xf numFmtId="0" fontId="9" fillId="0" borderId="1" xfId="0" applyNumberFormat="1" applyFont="1" applyFill="1" applyBorder="1" applyAlignment="1">
      <x:alignment horizontal="center"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12" fillId="10" borderId="0" xfId="0" applyNumberFormat="1" applyFont="1" applyFill="1" applyBorder="1" applyAlignment="1">
      <x:alignment wrapText="1"/>
    </x:xf>
    <x:xf numFmtId="0" fontId="6" fillId="0" borderId="0" xfId="0" applyNumberFormat="1" applyFont="1" applyFill="1" applyBorder="1"/>
    <x:xf numFmtId="0" fontId="12" fillId="10" borderId="2" xfId="0" applyNumberFormat="1" applyFont="1" applyFill="1" applyBorder="1" applyAlignment="1">
      <x:alignment wrapText="1"/>
    </x:xf>
    <x:xf numFmtId="0" fontId="6" fillId="0" borderId="2" xfId="0" applyNumberFormat="1" applyFont="1" applyFill="1" applyBorder="1"/>
    <x:xf numFmtId="0" fontId="6" fillId="0" borderId="2" xfId="0" applyNumberFormat="1" applyFont="1" applyFill="1" applyBorder="1" applyAlignment="1">
      <x:alignment wrapText="1"/>
    </x:xf>
    <x:xf numFmtId="0" fontId="4" fillId="10" borderId="2" xfId="0" applyNumberFormat="1" applyFont="1" applyFill="1" applyBorder="1" applyAlignment="1">
      <x:alignment wrapText="1"/>
    </x:xf>
    <x:xf numFmtId="201" fontId="6" fillId="0" borderId="2" xfId="0" applyNumberFormat="1" applyFont="1" applyFill="1" applyBorder="1" applyAlignment="1">
      <x:alignment wrapText="1"/>
    </x:xf>
    <x:xf numFmtId="0" fontId="4" fillId="10" borderId="2" xfId="0" applyNumberFormat="1" applyFont="1" applyFill="1" applyBorder="1" applyAlignment="1">
      <x:alignment horizontal="center" wrapText="1"/>
    </x:xf>
    <x:xf numFmtId="0" fontId="6" fillId="11" borderId="2" xfId="0" applyNumberFormat="1" applyFont="1" applyFill="1" applyBorder="1" applyAlignment="1">
      <x:alignment wrapText="1"/>
    </x:xf>
    <x:xf numFmtId="0" fontId="4" fillId="11" borderId="2" xfId="0" applyNumberFormat="1" applyFont="1" applyFill="1" applyBorder="1" applyAlignment="1">
      <x:alignment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12" fillId="10" borderId="0" xfId="0" applyNumberFormat="1" applyFont="1" applyFill="1" applyBorder="1"/>
    <x:xf numFmtId="0" fontId="12" fillId="12" borderId="0" xfId="0" applyNumberFormat="1" applyFont="1" applyFill="1" applyBorder="1"/>
    <x:xf numFmtId="0" fontId="12" fillId="10" borderId="2" xfId="0" applyNumberFormat="1" applyFont="1" applyFill="1" applyBorder="1"/>
    <x:xf numFmtId="0" fontId="12" fillId="12" borderId="2" xfId="0" applyNumberFormat="1" applyFont="1" applyFill="1" applyBorder="1"/>
    <x:xf numFmtId="0" fontId="12" fillId="12" borderId="2" xfId="0" applyNumberFormat="1" applyFont="1" applyFill="1" applyBorder="1" applyAlignment="1">
      <x:alignment wrapText="1"/>
    </x:xf>
    <x:xf numFmtId="0" fontId="4" fillId="12" borderId="2" xfId="0" applyNumberFormat="1" applyFont="1" applyFill="1" applyBorder="1" applyAlignment="1">
      <x:alignment wrapText="1"/>
    </x:xf>
    <x:xf numFmtId="0" fontId="6" fillId="13" borderId="2" xfId="0" applyNumberFormat="1" applyFont="1" applyFill="1" applyBorder="1" applyAlignment="1">
      <x:alignment wrapText="1"/>
    </x:xf>
    <x:xf numFmtId="0" fontId="13" fillId="13" borderId="2" xfId="0" applyNumberFormat="1" applyFont="1" applyFill="1" applyBorder="1" applyAlignment="1">
      <x:alignment wrapText="1"/>
    </x:xf>
    <x:xf numFmtId="0" fontId="6" fillId="14" borderId="2" xfId="0" applyNumberFormat="1" applyFont="1" applyFill="1" applyBorder="1" applyAlignment="1">
      <x:alignment wrapText="1"/>
    </x:xf>
    <x:xf numFmtId="0" fontId="14" fillId="14" borderId="2" xfId="0" applyNumberFormat="1" applyFont="1" applyFill="1" applyBorder="1" applyAlignment="1">
      <x:alignment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color rgb="FF991B1B"/>
      </x:font>
      <x:fill>
        <x:patternFill>
          <x:bgColor rgb="FFFEE2E2"/>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76cde5d2524847" /><Relationship Type="http://schemas.openxmlformats.org/officeDocument/2006/relationships/theme" Target="/xl/theme/theme1.xml" Id="R44cf1719287c40e4" /><Relationship Type="http://schemas.openxmlformats.org/officeDocument/2006/relationships/sharedStrings" Target="/xl/sharedStrings.xml" Id="R81fc8da6d38f421b" /><Relationship Type="http://schemas.openxmlformats.org/officeDocument/2006/relationships/worksheet" Target="/xl/worksheets/sheet1.xml" Id="Rbf094c82aedd4aa2" /><Relationship Type="http://schemas.openxmlformats.org/officeDocument/2006/relationships/worksheet" Target="/xl/worksheets/sheet2.xml" Id="R5fb7fca37ff4437e" /><Relationship Type="http://schemas.openxmlformats.org/officeDocument/2006/relationships/worksheet" Target="/xl/worksheets/sheet3.xml" Id="R512cb3f314304972" /><Relationship Type="http://schemas.openxmlformats.org/officeDocument/2006/relationships/worksheet" Target="/xl/worksheets/sheet4.xml" Id="R9e0c334bf5ca476c" /><Relationship Type="http://schemas.openxmlformats.org/officeDocument/2006/relationships/worksheet" Target="/xl/worksheets/sheet5.xml" Id="R8bad4a50d56548d3" /><Relationship Type="http://schemas.openxmlformats.org/officeDocument/2006/relationships/worksheet" Target="/xl/worksheets/sheet6.xml" Id="R6385eaf05124413f" /><Relationship Type="http://schemas.openxmlformats.org/officeDocument/2006/relationships/worksheet" Target="/xl/worksheets/sheet7.xml" Id="Ra3582cddc5e6445e" /><Relationship Type="http://schemas.openxmlformats.org/officeDocument/2006/relationships/worksheet" Target="/xl/worksheets/sheet8.xml" Id="R58d30a7e949746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5e6c02ec990b4e7a" /><Relationship Type="http://schemas.openxmlformats.org/officeDocument/2006/relationships/chart" Target="/xl/drawings/charts/chart2.xml" Id="Rebbbad83cd9d40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İçerik Kümesine Göre Blog Dağılımı</a:t>
            </a:r>
          </a:p>
        </c:rich>
      </c:tx>
    </c:title>
    <c:autoTitleDeleted val="0"/>
    <c:plotArea>
      <c:barChart>
        <c:barDir val="col"/>
        <c:grouping val="clustered"/>
        <c:varyColors val="0"/>
        <c:ser>
          <c:idx val="0"/>
          <c:order val="0"/>
          <c:tx>
            <c:v>Yazı sayısı</c:v>
          </c:tx>
          <c:cat>
            <c:strRef>
              <c:f>'Campaign_Overview'!$A$11:$A$15</c:f>
              <c:strCache>
                <c:ptCount val="0"/>
              </c:strCache>
            </c:strRef>
          </c:cat>
          <c:val>
            <c:numRef>
              <c:f>'Campaign_Overview'!$B$11:$B$15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Funnel Dağılımı</a:t>
            </a:r>
          </a:p>
        </c:rich>
      </c:tx>
    </c:title>
    <c:autoTitleDeleted val="0"/>
    <c:plotArea>
      <c:barChart>
        <c:barDir val="col"/>
        <c:varyColors val="0"/>
        <c:ser>
          <c:idx val="0"/>
          <c:order val="0"/>
          <c:tx>
            <c:v>Yazı sayısı</c:v>
          </c:tx>
          <c:cat>
            <c:strRef>
              <c:f>'Campaign_Overview'!$D$11:$D$13</c:f>
              <c:strCache>
                <c:ptCount val="0"/>
              </c:strCache>
            </c:strRef>
          </c:cat>
          <c:val>
            <c:numRef>
              <c:f>'Campaign_Overview'!$E$11:$E$13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5</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6c02ec990b4e7a"/>
        </a:graphicData>
      </a:graphic>
    </xdr:graphicFrame>
    <xdr:clientData/>
  </xdr:twoCellAnchor>
  <xdr:twoCellAnchor>
    <xdr:from>
      <xdr:col>5</xdr:col>
      <xdr:colOff>0</xdr:colOff>
      <xdr:row>23</xdr:row>
      <xdr:rowOff>0</xdr:rowOff>
    </xdr:from>
    <xdr:to>
      <xdr:col>10</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bbad83cd9d4055"/>
        </a:graphicData>
      </a:graphic>
    </xdr:graphicFrame>
    <xdr:clientData/>
  </xdr:twoCellAnchor>
</xdr:wsDr>
</file>

<file path=xl/tables/table1.xml><?xml version="1.0" encoding="utf-8"?>
<x:table xmlns:x="http://schemas.openxmlformats.org/spreadsheetml/2006/main" id="1" name="ImportBriefTable" displayName="ImportBriefTable" ref="A1:G21" headerRowCount="1">
  <x:tableColumns count="7">
    <x:tableColumn id="1" name="H1 / title"/>
    <x:tableColumn id="2" name="Primary keyword"/>
    <x:tableColumn id="3" name="Search intent"/>
    <x:tableColumn id="4" name="Meta title"/>
    <x:tableColumn id="5" name="Meta description"/>
    <x:tableColumn id="6" name="Outline / brief"/>
    <x:tableColumn id="7" name="CTA"/>
  </x:tableColumns>
  <x:tableStyleInfo name="TableStyleMedium2" showRowStripes="1"/>
</x:table>
</file>

<file path=xl/tables/table2.xml><?xml version="1.0" encoding="utf-8"?>
<x:table xmlns:x="http://schemas.openxmlformats.org/spreadsheetml/2006/main" id="2" name="SEOStrategyTable" displayName="SEOStrategyTable" ref="A1:S21" headerRowCount="1">
  <x:tableColumns count="19">
    <x:tableColumn id="1" name="ID"/>
    <x:tableColumn id="2" name="Cluster"/>
    <x:tableColumn id="3" name="Funnel"/>
    <x:tableColumn id="4" name="Persona"/>
    <x:tableColumn id="5" name="Template"/>
    <x:tableColumn id="6" name="Slug"/>
    <x:tableColumn id="7" name="Primary keyword"/>
    <x:tableColumn id="8" name="Related keywords"/>
    <x:tableColumn id="9" name="Proprietary data requirement"/>
    <x:tableColumn id="10" name="Competitor gap"/>
    <x:tableColumn id="11" name="Internal linking plan"/>
    <x:tableColumn id="12" name="Image plan"/>
    <x:tableColumn id="13" name="Official source URLs"/>
    <x:tableColumn id="14" name="Duplicate check"/>
    <x:tableColumn id="15" name="Priority"/>
    <x:tableColumn id="16" name="Status"/>
    <x:tableColumn id="17" name="Meta title chars"/>
    <x:tableColumn id="18" name="Meta description chars"/>
    <x:tableColumn id="19" name="Metadata QA"/>
  </x:tableColumns>
  <x:tableStyleInfo name="TableStyleMedium2" showRowStripes="1"/>
</x:table>
</file>

<file path=xl/tables/table3.xml><?xml version="1.0" encoding="utf-8"?>
<x:table xmlns:x="http://schemas.openxmlformats.org/spreadsheetml/2006/main" id="3" name="SourceLibraryTable" displayName="SourceLibraryTable" ref="A1:E20" headerRowCount="1">
  <x:tableColumns count="5">
    <x:tableColumn id="1" name="Source"/>
    <x:tableColumn id="2" name="URL"/>
    <x:tableColumn id="3" name="Use in campaign"/>
    <x:tableColumn id="4" name="Reliability / notes"/>
    <x:tableColumn id="5" name="Last checked"/>
  </x:tableColumns>
  <x:tableStyleInfo name="TableStyleMedium2" showRowStripes="1"/>
</x:table>
</file>

<file path=xl/tables/table4.xml><?xml version="1.0" encoding="utf-8"?>
<x:table xmlns:x="http://schemas.openxmlformats.org/spreadsheetml/2006/main" id="4" name="CampaignRulesTable" displayName="CampaignRulesTable" ref="A3:B16" headerRowCount="1">
  <x:tableColumns count="2">
    <x:tableColumn id="1" name="Kural"/>
    <x:tableColumn id="2" name="Uygulama"/>
  </x:tableColumns>
  <x:tableStyleInfo name="TableStyleMedium2" showRowStripes="1"/>
</x:table>
</file>

<file path=xl/tables/table5.xml><?xml version="1.0" encoding="utf-8"?>
<x:table xmlns:x="http://schemas.openxmlformats.org/spreadsheetml/2006/main" id="5" name="ProgrammaticSEOTemplate" displayName="ProgrammaticSEOTemplate" ref="A1:AA101" headerRowCount="1" totalsRowCount="0" totalsRowShown="0">
  <x:tableColumns count="27">
    <x:tableColumn id="1" name="ID"/>
    <x:tableColumn id="2" name="Status"/>
    <x:tableColumn id="3" name="Priority"/>
    <x:tableColumn id="4" name="Cluster"/>
    <x:tableColumn id="5" name="Funnel"/>
    <x:tableColumn id="6" name="Persona"/>
    <x:tableColumn id="7" name="Page type"/>
    <x:tableColumn id="8" name="Template"/>
    <x:tableColumn id="9" name="URL path"/>
    <x:tableColumn id="10" name="H1 / title"/>
    <x:tableColumn id="11" name="Slug"/>
    <x:tableColumn id="12" name="Primary keyword"/>
    <x:tableColumn id="13" name="Search intent"/>
    <x:tableColumn id="14" name="Related keywords"/>
    <x:tableColumn id="15" name="Meta title"/>
    <x:tableColumn id="16" name="Meta title chars"/>
    <x:tableColumn id="17" name="Meta description"/>
    <x:tableColumn id="18" name="Meta description chars"/>
    <x:tableColumn id="19" name="Outline / brief"/>
    <x:tableColumn id="20" name="CTA"/>
    <x:tableColumn id="21" name="Internal linking plan"/>
    <x:tableColumn id="22" name="Official source URLs"/>
    <x:tableColumn id="23" name="Proprietary data requirement"/>
    <x:tableColumn id="24" name="Image plan"/>
    <x:tableColumn id="25" name="Duplicate check"/>
    <x:tableColumn id="26" name="QA status"/>
    <x:tableColumn id="27" name="Notes"/>
  </x:tableColumns>
  <x:tableStyleInfo name="TableStyleLight1" showFirstColumn="0" showLastColumn="0" showRowStripes="0" showColumnStripes="0"/>
</x:table>
</file>

<file path=xl/tables/table6.xml><?xml version="1.0" encoding="utf-8"?>
<x:table xmlns:x="http://schemas.openxmlformats.org/spreadsheetml/2006/main" id="6" name="BlogFactoryImport" displayName="BlogFactoryImport" ref="A1:G101" headerRowCount="1" totalsRowCount="0" totalsRowShown="0">
  <x:tableColumns count="7">
    <x:tableColumn id="1" name="H1 / title"/>
    <x:tableColumn id="2" name="Primary keyword"/>
    <x:tableColumn id="3" name="Search intent"/>
    <x:tableColumn id="4" name="Meta title"/>
    <x:tableColumn id="5" name="Meta description"/>
    <x:tableColumn id="6" name="Outline / brief"/>
    <x:tableColumn id="7" name="CTA"/>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0018d945477493b" /></Relationships>
</file>

<file path=xl/worksheets/_rels/sheet2.xml.rels>&#65279;<?xml version="1.0" encoding="utf-8"?><Relationships xmlns="http://schemas.openxmlformats.org/package/2006/relationships"><Relationship Type="http://schemas.openxmlformats.org/officeDocument/2006/relationships/table" Target="/xl/tables/table1.xml" Id="Rf5a8a14c4d78494d" /></Relationships>
</file>

<file path=xl/worksheets/_rels/sheet3.xml.rels>&#65279;<?xml version="1.0" encoding="utf-8"?><Relationships xmlns="http://schemas.openxmlformats.org/package/2006/relationships"><Relationship Type="http://schemas.openxmlformats.org/officeDocument/2006/relationships/table" Target="/xl/tables/table2.xml" Id="Raa640c5c17334ba4" /></Relationships>
</file>

<file path=xl/worksheets/_rels/sheet4.xml.rels>&#65279;<?xml version="1.0" encoding="utf-8"?><Relationships xmlns="http://schemas.openxmlformats.org/package/2006/relationships"><Relationship Type="http://schemas.openxmlformats.org/officeDocument/2006/relationships/table" Target="/xl/tables/table3.xml" Id="R240289b0a4f646d6" /></Relationships>
</file>

<file path=xl/worksheets/_rels/sheet5.xml.rels>&#65279;<?xml version="1.0" encoding="utf-8"?><Relationships xmlns="http://schemas.openxmlformats.org/package/2006/relationships"><Relationship Type="http://schemas.openxmlformats.org/officeDocument/2006/relationships/table" Target="/xl/tables/table4.xml" Id="R8056d01cba1a4acc" /></Relationships>
</file>

<file path=xl/worksheets/_rels/sheet6.xml.rels>&#65279;<?xml version="1.0" encoding="utf-8"?><Relationships xmlns="http://schemas.openxmlformats.org/package/2006/relationships"><Relationship Type="http://schemas.openxmlformats.org/officeDocument/2006/relationships/table" Target="/xl/tables/table5.xml" Id="R861d83a6eda541fa" /></Relationships>
</file>

<file path=xl/worksheets/_rels/sheet7.xml.rels>&#65279;<?xml version="1.0" encoding="utf-8"?><Relationships xmlns="http://schemas.openxmlformats.org/package/2006/relationships"><Relationship Type="http://schemas.openxmlformats.org/officeDocument/2006/relationships/table" Target="/xl/tables/table6.xml" Id="Ra6de69258c9d4c7c" /></Relationships>
</file>

<file path=xl/worksheets/sheet1.xml><?xml version="1.0" encoding="utf-8"?>
<x:worksheet xmlns:x="http://schemas.openxmlformats.org/spreadsheetml/2006/main">
  <x:sheetFormatPr defaultRowHeight="15"/>
  <x:cols>
    <x:col min="1" max="1" width="25" hidden="0" customWidth="1"/>
    <x:col min="2" max="2" width="44" hidden="0" customWidth="1"/>
    <x:col min="3" max="3" width="4" hidden="0" customWidth="1"/>
    <x:col min="4" max="4" width="25" hidden="0" customWidth="1"/>
    <x:col min="5" max="5" width="32" hidden="0" customWidth="1"/>
    <x:col min="6" max="6" width="4" hidden="0" customWidth="1"/>
    <x:col min="7" max="7" width="16" hidden="0" customWidth="1"/>
    <x:col min="8" max="8" width="55" hidden="0" customWidth="1"/>
  </x:cols>
  <x:sheetData>
    <x:row r="1" ht="34" customHeight="1">
      <x:c r="A1" s="47" t="str">
        <x:v>BlogFactory Programmatic SEO Template — Rank Prompt</x:v>
      </x:c>
      <x:c r="B1" s="47"/>
      <x:c r="C1" s="47"/>
      <x:c r="D1" s="47"/>
      <x:c r="E1" s="47"/>
      <x:c r="F1" s="47"/>
      <x:c r="G1" s="47"/>
      <x:c r="H1" s="47"/>
    </x:row>
    <x:row r="2">
      <x:c r="A2" s="48"/>
      <x:c r="B2" s="48"/>
      <x:c r="C2" s="48"/>
      <x:c r="D2" s="48"/>
      <x:c r="E2" s="48"/>
      <x:c r="F2" s="48"/>
      <x:c r="G2" s="48"/>
      <x:c r="H2" s="48"/>
    </x:row>
    <x:row r="3">
      <x:c r="A3" s="49" t="str">
        <x:v>Site</x:v>
      </x:c>
      <x:c r="B3" s="48" t="str">
        <x:v>https://ortakalan.io/</x:v>
      </x:c>
      <x:c r="C3" s="48"/>
      <x:c r="D3" s="50" t="str">
        <x:v>Toplam blog</x:v>
      </x:c>
      <x:c r="E3" s="48" t="n">
        <x:f>COUNTA(Import_Brief!A2:A21)</x:f>
        <x:v>20</x:v>
      </x:c>
      <x:c r="F3" s="48"/>
      <x:c r="G3" s="51" t="str">
        <x:v>Yayın sırası</x:v>
      </x:c>
      <x:c r="H3" s="51" t="str">
        <x:v>Öneri</x:v>
      </x:c>
    </x:row>
    <x:row r="4">
      <x:c r="A4" s="49" t="str">
        <x:v>Ürün</x:v>
      </x:c>
      <x:c r="B4" s="48" t="str">
        <x:v>Rank Prompt</x:v>
      </x:c>
      <x:c r="C4" s="48"/>
      <x:c r="D4" s="50" t="str">
        <x:v>Küme sayısı</x:v>
      </x:c>
      <x:c r="E4" s="48" t="n">
        <x:v>5</x:v>
      </x:c>
      <x:c r="F4" s="48"/>
      <x:c r="G4" s="48" t="n">
        <x:v>1</x:v>
      </x:c>
      <x:c r="H4" s="48" t="str">
        <x:v>Önce 1–4 numaralı temel kavram/pillar içeriklerini yayımlayın.</x:v>
      </x:c>
    </x:row>
    <x:row r="5">
      <x:c r="A5" s="49" t="str">
        <x:v>Affiliate CTA</x:v>
      </x:c>
      <x:c r="B5" s="48" t="str">
        <x:v>https://join.rankprompt.com/zzzuy8sjj9ke-xj5vs</x:v>
      </x:c>
      <x:c r="C5" s="48"/>
      <x:c r="D5" s="50" t="str">
        <x:v>Metadata QA</x:v>
      </x:c>
      <x:c r="E5" s="48" t="str">
        <x:f>COUNTIF(SEO_Strategy!S2:S21,"OK")&amp;"/20"</x:f>
        <x:v>20/20</x:v>
      </x:c>
      <x:c r="F5" s="48"/>
      <x:c r="G5" s="48" t="n">
        <x:v>2</x:v>
      </x:c>
      <x:c r="H5" s="48" t="str">
        <x:v>Sonra ölçüm ve optimizasyon kümelerini karşılıklı iç linklerle açın.</x:v>
      </x:c>
    </x:row>
    <x:row r="6">
      <x:c r="A6" s="49" t="str">
        <x:v>Kampanya dili</x:v>
      </x:c>
      <x:c r="B6" s="48" t="str">
        <x:v>Türkçe</x:v>
      </x:c>
      <x:c r="C6" s="48"/>
      <x:c r="D6" s="50" t="str">
        <x:v>Affiliate açıklaması</x:v>
      </x:c>
      <x:c r="E6" s="48" t="str">
        <x:v>Her CTA yanında zorunlu</x:v>
      </x:c>
      <x:c r="F6" s="48"/>
      <x:c r="G6" s="48" t="n">
        <x:v>3</x:v>
      </x:c>
      <x:c r="H6" s="48" t="str">
        <x:v>Sektörel use-case içeriklerini pillar sayfalara bağlayın.</x:v>
      </x:c>
    </x:row>
    <x:row r="7">
      <x:c r="A7" s="49" t="str">
        <x:v>Hazırlanma tarihi</x:v>
      </x:c>
      <x:c r="B7" s="52" t="n">
        <x:v>46215</x:v>
      </x:c>
      <x:c r="C7" s="48"/>
      <x:c r="D7" s="50" t="str">
        <x:v>İthalat formatı</x:v>
      </x:c>
      <x:c r="E7" s="48" t="str">
        <x:v>BlogFactory_Import!A:G</x:v>
      </x:c>
      <x:c r="F7" s="48"/>
      <x:c r="G7" s="48" t="n">
        <x:v>4</x:v>
      </x:c>
      <x:c r="H7" s="48" t="str">
        <x:v>“En iyi araçlar” yazısını temel inceleme ve ölçüm içerikleri yayına girdikten sonra yayımlayın.</x:v>
      </x:c>
    </x:row>
    <x:row r="8">
      <x:c r="A8" s="48"/>
      <x:c r="B8" s="48"/>
      <x:c r="C8" s="48"/>
      <x:c r="D8" s="48"/>
      <x:c r="E8" s="48"/>
      <x:c r="F8" s="48"/>
      <x:c r="G8" s="48" t="n">
        <x:v>5</x:v>
      </x:c>
      <x:c r="H8" s="48" t="str">
        <x:v>Her yazı için gerçek test/veri görevi tamamlanmadan yayına almayın.</x:v>
      </x:c>
    </x:row>
    <x:row r="9">
      <x:c r="A9" s="48"/>
      <x:c r="B9" s="48"/>
      <x:c r="C9" s="48"/>
      <x:c r="D9" s="48"/>
      <x:c r="E9" s="48"/>
      <x:c r="F9" s="48"/>
      <x:c r="G9" s="48"/>
      <x:c r="H9" s="48"/>
    </x:row>
    <x:row r="10">
      <x:c r="A10" s="53" t="str">
        <x:v>İçerik kümesi</x:v>
      </x:c>
      <x:c r="B10" s="53" t="str">
        <x:v>Yazı sayısı</x:v>
      </x:c>
      <x:c r="C10" s="48"/>
      <x:c r="D10" s="54" t="str">
        <x:v>Funnel aşaması</x:v>
      </x:c>
      <x:c r="E10" s="54" t="str">
        <x:v>Yazı sayısı</x:v>
      </x:c>
      <x:c r="F10" s="48"/>
      <x:c r="G10" s="48"/>
      <x:c r="H10" s="48"/>
    </x:row>
    <x:row r="11">
      <x:c r="A11" s="48" t="str">
        <x:v>Ürün ve temel kavramlar</x:v>
      </x:c>
      <x:c r="B11" s="48" t="n">
        <x:f>COUNTIF(SEO_Strategy!$B$2:$B$21,A11)</x:f>
        <x:v>4</x:v>
      </x:c>
      <x:c r="C11" s="48"/>
      <x:c r="D11" s="48" t="str">
        <x:v>Farkındalık</x:v>
      </x:c>
      <x:c r="E11" s="48" t="n">
        <x:f>COUNTIF(SEO_Strategy!$C$2:$C$21,D11)</x:f>
        <x:v>7</x:v>
      </x:c>
      <x:c r="F11" s="48"/>
      <x:c r="G11" s="48"/>
      <x:c r="H11" s="48"/>
    </x:row>
    <x:row r="12">
      <x:c r="A12" s="48" t="str">
        <x:v>Ölçüm ve raporlama</x:v>
      </x:c>
      <x:c r="B12" s="48" t="n">
        <x:f>COUNTIF(SEO_Strategy!$B$2:$B$21,A12)</x:f>
        <x:v>6</x:v>
      </x:c>
      <x:c r="C12" s="48"/>
      <x:c r="D12" s="48" t="str">
        <x:v>Değerlendirme</x:v>
      </x:c>
      <x:c r="E12" s="48" t="n">
        <x:f>COUNTIF(SEO_Strategy!$C$2:$C$21,D12)</x:f>
        <x:v>11</x:v>
      </x:c>
      <x:c r="F12" s="48"/>
      <x:c r="G12" s="48"/>
      <x:c r="H12" s="48"/>
    </x:row>
    <x:row r="13">
      <x:c r="A13" s="48" t="str">
        <x:v>Optimizasyon</x:v>
      </x:c>
      <x:c r="B13" s="48" t="n">
        <x:f>COUNTIF(SEO_Strategy!$B$2:$B$21,A13)</x:f>
        <x:v>5</x:v>
      </x:c>
      <x:c r="C13" s="48"/>
      <x:c r="D13" s="48" t="str">
        <x:v>Karar</x:v>
      </x:c>
      <x:c r="E13" s="48" t="n">
        <x:f>COUNTIF(SEO_Strategy!$C$2:$C$21,D13)</x:f>
        <x:v>2</x:v>
      </x:c>
      <x:c r="F13" s="48"/>
      <x:c r="G13" s="48"/>
      <x:c r="H13" s="48"/>
    </x:row>
    <x:row r="14">
      <x:c r="A14" s="48" t="str">
        <x:v>Sektörel kullanım</x:v>
      </x:c>
      <x:c r="B14" s="48" t="n">
        <x:f>COUNTIF(SEO_Strategy!$B$2:$B$21,A14)</x:f>
        <x:v>4</x:v>
      </x:c>
      <x:c r="C14" s="48"/>
      <x:c r="D14" s="48"/>
      <x:c r="E14" s="48"/>
      <x:c r="F14" s="48"/>
      <x:c r="G14" s="48"/>
      <x:c r="H14" s="48"/>
    </x:row>
    <x:row r="15">
      <x:c r="A15" s="48" t="str">
        <x:v>Araç seçimi</x:v>
      </x:c>
      <x:c r="B15" s="48" t="n">
        <x:f>COUNTIF(SEO_Strategy!$B$2:$B$21,A15)</x:f>
        <x:v>1</x:v>
      </x:c>
      <x:c r="C15" s="48"/>
      <x:c r="D15" s="48"/>
      <x:c r="E15" s="48"/>
      <x:c r="F15" s="48"/>
      <x:c r="G15" s="48"/>
      <x:c r="H15" s="48"/>
    </x:row>
    <x:row r="16">
      <x:c r="A16" s="48"/>
      <x:c r="B16" s="48"/>
      <x:c r="C16" s="48"/>
      <x:c r="D16" s="48"/>
      <x:c r="E16" s="48"/>
      <x:c r="F16" s="48"/>
      <x:c r="G16" s="48"/>
      <x:c r="H16" s="48"/>
    </x:row>
    <x:row r="17">
      <x:c r="A17" s="48"/>
      <x:c r="B17" s="48"/>
      <x:c r="C17" s="48"/>
      <x:c r="D17" s="48"/>
      <x:c r="E17" s="48"/>
      <x:c r="F17" s="48"/>
      <x:c r="G17" s="48"/>
      <x:c r="H17" s="48"/>
    </x:row>
    <x:row r="18">
      <x:c r="A18" s="55" t="str">
        <x:v>Kritik Editör Notu</x:v>
      </x:c>
      <x:c r="B18" s="55"/>
      <x:c r="C18" s="55"/>
      <x:c r="D18" s="55"/>
      <x:c r="E18" s="55"/>
      <x:c r="F18" s="55"/>
      <x:c r="G18" s="55"/>
      <x:c r="H18" s="55"/>
    </x:row>
    <x:row r="19" ht="30" customHeight="1">
      <x:c r="A19" s="39" t="str">
        <x:v>Yüklenen tanıtım deck’i Rank Prompt için 4 platform ve eski fiyatlar gösteriyor. Güncel resmi site ise 6 platformu (ChatGPT, Perplexity, Google AI Mode/AI Overviews, Claude, Gemini ve Grok) ve farklı fiyatlandırmayı listeliyor. Bu nedenle fiyat, platform kapsamı, kredi ve ajans özellikleri yayın günü resmi sayfalardan doğrulanmalıdır. Hiçbir yazı Google/AI görünürlüğü garantisi vermemeli; Rank Prompt yalnızca ölçüm ve optimizasyon iş akışına yardımcı bir üçüncü taraf araç olarak konumlandırılmalıdır.</x:v>
      </x:c>
      <x:c r="B19" s="39"/>
      <x:c r="C19" s="39"/>
      <x:c r="D19" s="39"/>
      <x:c r="E19" s="39"/>
      <x:c r="F19" s="39"/>
      <x:c r="G19" s="39"/>
      <x:c r="H19" s="39"/>
    </x:row>
    <x:row r="20" ht="30" customHeight="1">
      <x:c r="A20" s="39"/>
      <x:c r="B20" s="39"/>
      <x:c r="C20" s="39"/>
      <x:c r="D20" s="39"/>
      <x:c r="E20" s="39"/>
      <x:c r="F20" s="39"/>
      <x:c r="G20" s="39"/>
      <x:c r="H20" s="39"/>
    </x:row>
    <x:row r="21" ht="30" customHeight="1">
      <x:c r="A21" s="39"/>
      <x:c r="B21" s="39"/>
      <x:c r="C21" s="39"/>
      <x:c r="D21" s="39"/>
      <x:c r="E21" s="39"/>
      <x:c r="F21" s="39"/>
      <x:c r="G21" s="39"/>
      <x:c r="H21" s="39"/>
    </x:row>
    <x:row r="22" ht="30" customHeight="1">
      <x:c r="A22" s="39"/>
      <x:c r="B22" s="39"/>
      <x:c r="C22" s="39"/>
      <x:c r="D22" s="39"/>
      <x:c r="E22" s="39"/>
      <x:c r="F22" s="39"/>
      <x:c r="G22" s="39"/>
      <x:c r="H22" s="39"/>
    </x:row>
  </x:sheetData>
  <x:mergeCells>
    <x:mergeCell ref="A1:H1"/>
    <x:mergeCell ref="A18:H18"/>
    <x:mergeCell ref="A19:H22"/>
  </x:mergeCells>
  <x:pageMargins left="0.7" right="0.7" top="0.75" bottom="0.75" header="0.3" footer="0.3"/>
  <x:drawing xmlns:r="http://schemas.openxmlformats.org/officeDocument/2006/relationships" r:id="R20018d945477493b"/>
</x:worksheet>
</file>

<file path=xl/worksheets/sheet2.xml><?xml version="1.0" encoding="utf-8"?>
<x:worksheet xmlns:x="http://schemas.openxmlformats.org/spreadsheetml/2006/main">
  <x:sheetFormatPr defaultRowHeight="15"/>
  <x:cols>
    <x:col min="1" max="1" width="46" hidden="0" customWidth="1"/>
    <x:col min="2" max="2" width="28" hidden="0" customWidth="1"/>
    <x:col min="3" max="3" width="24" hidden="0" customWidth="1"/>
    <x:col min="4" max="4" width="42" hidden="0" customWidth="1"/>
    <x:col min="5" max="5" width="58" hidden="0" customWidth="1"/>
    <x:col min="6" max="6" width="88" hidden="0" customWidth="1"/>
    <x:col min="7" max="7" width="58" hidden="0" customWidth="1"/>
  </x:cols>
  <x:sheetData>
    <x:row r="1" ht="34" customHeight="1">
      <x:c r="A1" s="66" t="str">
        <x:v>H1 / title</x:v>
      </x:c>
      <x:c r="B1" s="66" t="str">
        <x:v>Primary keyword</x:v>
      </x:c>
      <x:c r="C1" s="66" t="str">
        <x:v>Search intent</x:v>
      </x:c>
      <x:c r="D1" s="66" t="str">
        <x:v>Meta title</x:v>
      </x:c>
      <x:c r="E1" s="66" t="str">
        <x:v>Meta description</x:v>
      </x:c>
      <x:c r="F1" s="66" t="str">
        <x:v>Outline / brief</x:v>
      </x:c>
      <x:c r="G1" s="66" t="str">
        <x:v>CTA</x:v>
      </x:c>
    </x:row>
    <x:row r="2" ht="170" customHeight="1">
      <x:c r="A2" s="71" t="str">
        <x:v>Rank Prompt Nedir? AI Arama Görünürlüğü İçin Tarafsız Rehber</x:v>
      </x:c>
      <x:c r="B2" s="71" t="str">
        <x:v>Rank Prompt nedir</x:v>
      </x:c>
      <x:c r="C2" s="71" t="str">
        <x:v>Ticari araştırma / bilgilendirici</x:v>
      </x:c>
      <x:c r="D2" s="71" t="str">
        <x:v>Rank Prompt Nedir? AI Görünürlük Rehberi</x:v>
      </x:c>
      <x:c r="E2" s="71" t="str">
        <x:v>Rank Prompt nedir, AI görünürlük aracı nasıl çalışır ve kimler için uygundur? Özellikleri, kullanım akışını ve sınırlamaları tarafsız biçimde inceleyin.</x:v>
      </x:c>
      <x:c r="F2" s="75" t="str">
        <x:v>TEMPLATE: HubSpot “What Is” — ürün odaklı editoryal
    HEDEF UZUNLUK: 1.500–2.000 kelime; 2.500 kelimeyi geçme.
    OKUYUCU: SEO uzmanları, growth ekipleri, ajanslar, SaaS kurucuları
    FUNNEL AŞAMASI: Değerlendirme
    ARAMA NİYETİ: Ticari araştırma / bilgilendirici
    TON: Profesyonel, anlaşılır, kanıta dayalı ve tarafsız. Reklam dili, abartı, “garantili görünürlük” ve doğrulanmamış üstünlük iddiaları kullanma.
    ANAHTAR KELİMELER
    - Birincil: Rank Prompt nedir
    - İlgili/uzun kuyruklu: Rank Prompt ne işe yarar, Rank Prompt inceleme, Rank Prompt özellikleri, Rank Prompt fiyatları, AI görünürlük platformu, ChatGPT görünürlük aracı, GEO takip aracı, LLM marka takibi, AI rakip analizi, AI citation tracking, AI visibility score, Rank Prompt alternatifleri
    - Birincil anahtar kelimeyi ilk 100 kelime içinde doğal biçimde kullan.
    - Anahtar kelimeyi en az 3 başlıkta doğal ve dilbilgisel olarak kullan; keyword stuffing yapma.
    AÇILIŞ
    - H1: Rank Prompt Nedir? AI Arama Görünürlüğü İçin Tarafsız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ürün yazıları çoğunlukla özellik listesinden ibaret. Bu yazı; gerçek kullanım akışı, hangi ekip için mantıklı olduğu, ölçüm metodolojisi, veri sınırlamaları ve 'garanti vermez' çerçevesini birlikte sunmalı.
    ZORUNLU ÖZGÜN KANIT / PROPRIETARY INFORMATION
    Bir Ortak Alan markası veya örnek SaaS için aynı gün 25 satın alma niyetli prompt çalıştırın; platform, görünürlük puanı, marka geçişi, rakip ve kaynak sayısını ekran görüntüleriyle raporlayın. Sonuçları olumlu ya da olumsuz olduğu haliyle yazın.
    Bu çalışma yapılmadan yazıyı yayıma hazır sayma. Test tarihi, prompt sayısı, platformlar, dil/ülke ve yöntem açıkça belirtilsin. Veri üretilemezse sonuç uydurma; “test henüz yapılmadı” notu bırak.
    İÇERİK PLANI
    H2 — Rank Prompt Nedir?
50-60 kelimelik doğrudan tanım verin. Rank Prompt’u AI arama görünürlüğünü ölçen, rakip ve kaynak boşluklarını analiz eden bir platform olarak açıklayın; Google sıralama garantisi vermediğini belirtin.
H2 — Rank Prompt Hangi Problemi Çözüyor?
Klasik rank tracking ile AI yanıtlarındaki marka önerilme/citation takibi arasındaki farkı anlatın.
H2 — Rank Prompt Nasıl Çalışır?
H3: Marka ve sektör tanımı; H3: Prompt seti oluşturma; H3: ChatGPT, Perplexity, Google AI Mode, Claude, Gemini ve Grok taramaları; H3: Görünürlük skoru, rakipler ve kaynaklar; H3: Öneriler ve yeniden tarama.
H2 — Rank Prompt’un Öne Çıkan Özellikleri
AI visibility, citation/source tracking, competitor analysis, scheduled reports, content/SEO audit, GA4/Search Console entegrasyonları ve ajans kullanımını fayda odaklı açıklayın.
H2 — Kimler İçin Uygun, Kimler İçin Gereksiz?
SaaS, e-ticaret, profesyonel hizmetler ve ajansları ayrı değerlendirin. Çok düşük arama talebi olan mikro markalar ile yalnızca klasik keyword rank tracking arayanlar için sınırlamaları dürüstçe yazın.
H2 — Rank Prompt Fiyatlandırması Nasıl Değerlendirilmeli?
Güncel fiyatı yalnızca resmi sayfadan kontrol ederek yazın; kredi mantığını, marka limitlerini, ekip/ajans ihtiyacını ve toplam sahip olma maliyetini açıklayın. Tarih damgası ekleyin.
H2 — Rank Prompt’un Artıları ve Eksileri
En az 4 artı, 4 sınırlama. Veri örneklemi, prompt seçimi, model değişkenliği ve üçüncü taraf araçların erişemediği dahili metrikler konusunda şeffaf olun.
H2 — Rank Prompt ile İlk AI Görünürlük Taraması
Adım adım onboarding ve 25 promptluk başlangıç deneyi verin; ölçülecek KPI’ları tanımlayın.
H2 — Sonuç
Kimin denemesi gerektiğini tek paragrafta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Rank Prompt ücretsiz denenebilir mi?
- Rank Prompt hangi AI platformlarını izler?
- Rank Prompt SEO aracının yerini alır mı?
- AI görünürlük skoru güvenilir mi?
- Rank Prompt ajanslar için uygun mu?
    Her cevap 1–3 cümle olsun; soruyu cevabın içinde doğal biçimde tekrar et.
    İÇ LİNKLER
    - https://ortakalan.io/dextergpt-nedir/ — “AI SEO otomasyonu” anchor metni
- Yayın sonrası /ai-gorunurluk-nedir/ — “AI görünürlük nedir” anchor metni
    Gelecek URL henüz yayımlanmadıysa linki kırık bırakma; içerik yayımlandıktan sonra eklenmek üzere editör notu koy.
    GÖRSEL ÖNERİLERİ
    - rank-prompt-nedir-kapak.webp | Alt: Rank Prompt AI görünürlük platformunu anlatan sade kapak görseli
- rank-prompt-dashboard.webp | Alt: Rank Prompt görünürlük skoru ve rakip paneli ekranı
- rank-prompt-prompt-analizi.webp | Alt: Prompt bazında marka, rakip ve kaynak analizi ekranı
- rank-prompt-is-akisi.webp | Alt: Tarama, analiz, optimizasyon ve yeniden ölçüm iş akışı diyagramı
    Kapak + en az 3 ek görsel kullan. Ekran görüntülerinde tarih ve veri kaynağı belirt; kişisel/müşteri verilerini maskele.
    KAYNAKLAR
    Öncelikle resmi ve birincil kaynakları kullan:
    - https://rankprompt.com/
- https://rankprompt.com/pricing/
- https://rankprompt.com/llm-info/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 s="77" t="str">
        <x:v>Rank Prompt’u kendi markanızın gerçek promptlarıyla değerlendirmek için platformu bu bağlantıdan inceleyebilirsiniz: https://join.rankprompt.com/zzzuy8sjj9ke-xj5vs Karar vermeden önce güncel kapsamı, fiyatı ve kredi koşullarını resmi sayfada doğrulayın. Şeffaflık notu: Bu bir iş ortaklığı bağlantısıdır; kayıt veya satın alma halinde Ortak Alan komisyon kazanabilir.</x:v>
      </x:c>
    </x:row>
    <x:row r="3" ht="170" customHeight="1">
      <x:c r="A3" s="71" t="str">
        <x:v>AI Görünürlük Nedir? Markalar İçin Ölçüm ve İyileştirme Rehberi</x:v>
      </x:c>
      <x:c r="B3" s="71" t="str">
        <x:v>AI görünürlük nedir</x:v>
      </x:c>
      <x:c r="C3" s="71" t="str">
        <x:v>Bilgilendirici</x:v>
      </x:c>
      <x:c r="D3" s="71" t="str">
        <x:v>AI Görünürlük Nedir? Ölçüm Rehberi</x:v>
      </x:c>
      <x:c r="E3" s="71" t="str">
        <x:v>AI görünürlük nedir, ChatGPT marka görünürlüğü nasıl ölçülür ve AI görünürlük skoru ne anlatır? Temel metrikleri öğrenin, ilk marka denetiminizi yapın.</x:v>
      </x:c>
      <x:c r="F3" s="75" t="str">
        <x:v>TEMPLATE: HubSpot “What Is”
    HEDEF UZUNLUK: 1.500–2.000 kelime; 2.500 kelimeyi geçme.
    OKUYUCU: Pazarlama yöneticileri, marka ekipleri, girişimciler
    FUNNEL AŞAMASI: Farkındalık
    ARAMA NİYETİ: Bilgilendirici
    TON: Profesyonel, anlaşılır, kanıta dayalı ve tarafsız. Reklam dili, abartı, “garantili görünürlük” ve doğrulanmamış üstünlük iddiaları kullanma.
    ANAHTAR KELİMELER
    - Birincil: AI görünürlük nedir
    - İlgili/uzun kuyruklu: yapay zeka görünürlüğü, AI marka görünürlüğü, ChatGPT marka görünürlüğü, LLM görünürlüğü, AI visibility nedir, AI görünürlük skoru, AI arama ölçümü, marka mention takibi, AI citation tracking, GEO ölçümü, AEO performansı, AI share of voice
    - Birincil anahtar kelimeyi ilk 100 kelime içinde doğal biçimde kullan.
    - Anahtar kelimeyi en az 3 başlıkta doğal ve dilbilgisel olarak kullan; keyword stuffing yapma.
    AÇILIŞ
    - H1: AI Görünürlük Nedir? Markalar İçin Ölçüm ve İyileştirme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içeriklerin çoğu AI görünürlüğünü tek bir mention sayısına indiriyor. Bu yazı dört katmanlı bir ölçüm modeli ve örnek hesaplama sunmalı.
    ZORUNLU ÖZGÜN KANIT / PROPRIETARY INFORMATION
    Aynı sektörden üç markayı 20 ortak promptta test edip 'görünme', 'önerilme', 'kaynak gösterilme' ve 'doğru tanımlanma' oranlarını ayrı ayrı gösteren mini veri tablosu oluşturun.
    Bu çalışma yapılmadan yazıyı yayıma hazır sayma. Test tarihi, prompt sayısı, platformlar, dil/ülke ve yöntem açıkça belirtilsin. Veri üretilemezse sonuç uydurma; “test henüz yapılmadı” notu bırak.
    İÇERİK PLANI
    H2 — AI Görünürlük Nedir?
50-60 kelimede doğrudan tanımlayın: Bir markanın AI destekli arama ve yanıt sistemlerinde ne sıklıkta, hangi bağlamda ve hangi kaynaklarla görünür olduğudur.
H2 — AI Görünürlük ile Klasik SEO Görünürlüğü Arasındaki Fark
SERP sırası, yanıt içinde önerilme, citation, sentiment ve prompt kapsamını tabloyla karşılaştırın.
H2 — AI Görünürlüğün Dört Katmanı
H3: Mention; H3: Recommendation; H3: Citation; H3: Brand accuracy/sentiment. Her metrik için neyi ölçtüğünü ve neyi ölçmediğini yazın.
H2 — AI Görünürlük Skoru Nasıl Hesaplanır?
Basit örnek formül verin; prompt ağırlığı ve yüksek niyetli sorguların önemini açıklayın. Araca göre metodolojinin değişebileceğini belirtin.
H2 — AI Görünürlük Neden Önemli?
Satın alma keşfi, güven, marka anlatısının doğruluğu, rakip payı ve trafik üzerindeki etkileri ayrı başlıklarla anlatın; kesin nedensellik iddiasından kaçının.
H2 — AI Görünürlük Nasıl Ölçülür?
Manuel yöntem ve araçla izleme yöntemini karşılaştırın. Platform, konum, dil, tarih ve prompt setini sabitleme gereğini vurgulayın.
H2 — İlk 30 Günlük AI Görünürlük Planı
Hafta 1 baseline, hafta 2 teknik/içerik düzeltmeleri, hafta 3 kaynak geliştirme, hafta 4 yeniden tarama ve rapor.
H2 — Sonuç
Ölçmeden optimizasyon yapılamayacağını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AI görünürlük ile marka bilinirliği aynı şey mi?
- ChatGPT marka görünürlüğü ücretsiz ölçülebilir mi?
- AI görünürlük skoru kaç olmalı?
- AI görünürlüğü ne sıklıkla kontrol edilmeli?
- AI görünürlük satışları doğrudan artırır mı?
    Her cevap 1–3 cümle olsun; soruyu cevabın içinde doğal biçimde tekrar et.
    İÇ LİNKLER
    - /rank-prompt-nedir/ — “AI görünürlük platformu” anchor metni
- https://ortakalan.io/dextergpt-nedir/ — “AI SEO nedir” anchor metni
    Gelecek URL henüz yayımlanmadıysa linki kırık bırakma; içerik yayımlandıktan sonra eklenmek üzere editör notu koy.
    GÖRSEL ÖNERİLERİ
    - ai-gorunurluk-nedir-kapak.webp | Alt: AI görünürlük kavramını marka ve yapay zeka yanıtlarıyla gösteren kapak
- ai-gorunurluk-metrikleri.webp | Alt: Mention, önerilme, citation ve doğruluk metrikleri diyagramı
- seo-vs-ai-gorunurluk.webp | Alt: Klasik SEO görünürlüğü ile AI görünürlüğü karşılaştırma tablosu
- 30-gun-ai-gorunurluk-plani.webp | Alt: 30 günlük AI görünürlük ölçüm ve iyileştirme takvimi
    Kapak + en az 3 ek görsel kullan. Ekran görüntülerinde tarih ve veri kaynağı belirt; kişisel/müşteri verilerini maskele.
    KAYNAKLAR
    Öncelikle resmi ve birincil kaynakları kullan:
    - https://rankprompt.com/llm-info/
- https://developers.google.com/search/docs/appearance/ai-features
- https://developers.google.com/search/docs/fundamentals/ai-optimization-guide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3"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4" ht="170" customHeight="1">
      <x:c r="A4" s="71" t="str">
        <x:v>AEO, GEO ve SEO Arasındaki Farklar: Hangi Strateji Ne Zaman Kullanılır?</x:v>
      </x:c>
      <x:c r="B4" s="71" t="str">
        <x:v>AEO GEO SEO farkı</x:v>
      </x:c>
      <x:c r="C4" s="71" t="str">
        <x:v>Bilgilendirici / karşılaştırmalı</x:v>
      </x:c>
      <x:c r="D4" s="71" t="str">
        <x:v>AEO, GEO ve SEO Arasındaki Farklar</x:v>
      </x:c>
      <x:c r="E4" s="71" t="str">
        <x:v>AEO, GEO ve SEO farkı nedir; answer engine optimization ile generative engine optimization nasıl ayrılır? Karşılaştırmayı okuyun, doğru stratejiyi seçin.</x:v>
      </x:c>
      <x:c r="F4" s="75" t="str">
        <x:v>TEMPLATE: HubSpot Pillar Page
    HEDEF UZUNLUK: 1.500–2.000 kelime; 2.500 kelimeyi geçme.
    OKUYUCU: SEO uzmanları, içerik stratejistleri, pazarlama liderleri
    FUNNEL AŞAMASI: Farkındalık
    ARAMA NİYETİ: Bilgilendirici / karşılaştırmalı
    TON: Profesyonel, anlaşılır, kanıta dayalı ve tarafsız. Reklam dili, abartı, “garantili görünürlük” ve doğrulanmamış üstünlük iddiaları kullanma.
    ANAHTAR KELİMELER
    - Birincil: AEO GEO SEO farkı
    - İlgili/uzun kuyruklu: AEO nedir, GEO nedir, SEO nedir, answer engine optimization, generative engine optimization, LLMO nedir, AI SEO, AEO ve SEO farkı, GEO ve SEO farkı, AI arama optimizasyonu, cevap motoru optimizasyonu, üretken arama optimizasyonu
    - Birincil anahtar kelimeyi ilk 100 kelime içinde doğal biçimde kullan.
    - Anahtar kelimeyi en az 3 başlıkta doğal ve dilbilgisel olarak kullan; keyword stuffing yapma.
    AÇILIŞ
    - H1: AEO, GEO ve SEO Arasındaki Farklar: Hangi Strateji Ne Zaman Kullanılır?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içerik terimleri birbirinin yerine kullanıyor. Yazı Google’ın resmi yaklaşımını da dahil ederek terimlerin pazarlama etiketleri ile uygulanabilir iş kalemlerini ayırmalı.
    ZORUNLU ÖZGÜN KANIT / PROPRIETARY INFORMATION
    Ortak Alan için tek bir içerik sayfasını üç mercekten değerlendiren gerçek bir mini audit ekleyin: klasik SEO sinyalleri, cevaplanabilirlik ve AI citation/brand visibility.
    Bu çalışma yapılmadan yazıyı yayıma hazır sayma. Test tarihi, prompt sayısı, platformlar, dil/ülke ve yöntem açıkça belirtilsin. Veri üretilemezse sonuç uydurma; “test henüz yapılmadı” notu bırak.
    İÇERİK PLANI
    H2 — SEO, AEO ve GEO Kısaca Ne Anlama Gelir?
Her terimi 2-3 cümlede tanımlayın ve aynı hedefe giden farklı ölçüm katmanları olduğunu açıklayın.
H2 — AEO, GEO ve SEO Karşılaştırma Tablosu
Hedef, kanal, çıktı, KPI, içerik formatı, teknik gereksinim ve ölçüm araçları sütunlarıyla karşılaştırın.
H2 — SEO Ne Zaman Önceliklidir?
İndekslenme, organik trafik, ticari sayfa sıralaması ve site sağlığı için temel rolünü anlatın.
H2 — AEO Ne Zaman Önceliklidir?
Doğrudan cevaplar, FAQ, featured snippet, sesli ve cevap motoru kullanım senaryolarını açıklayın.
H2 — GEO Ne Zaman Önceliklidir?
AI üretilen yanıtlarda mention, recommendation, citation ve brand perception hedeflerini açıklayın.
H2 — Google Bu Terimlere Nasıl Yaklaşıyor?
Google’ın generative AI search için temel SEO uygulamalarının geçerli olduğu ve özel 'hack' gerekmediği resmi görüşünü doğru bağlamda aktarın.
H2 — Üç Stratejiyi Tek Yol Haritasında Birleştirme
Teknik erişilebilirlik → people-first içerik → net entity sinyalleri → üçüncü taraf otorite → prompt bazlı ölçüm akışını verin.
H2 — Örnek: Bir SaaS Sayfasını SEO, AEO ve GEO İçin Optimize Etmek
Aynı sayfada title/internal link, kısa cevap, özgün veri, Organization/SoftwareApplication schema ve citation geliştirme örneği verin.
H2 — Sonuç
Terim tartışması yerine iş hedefi ve KPI seçimini vurgulayın.
    SONUÇ
    - 100–150 kelime.
    - Yalnızca ana bulguları özetle; yeni bilgi veya yeni iddia ekleme.
    - CTA’yı tek paragrafta, doğal ve baskısız biçimde kullan.
    SSS
    3–7 soru kullan; aşağıdaki sorular long-tail hedefleridir ve mevcut H2’leri tekrar etmemelidir:
    - LLMO ile GEO aynı şey mi?
- AEO SEO’nun yerini alır mı?
- GEO için ayrı bir ekip gerekir mi?
- AEO çalışmaları Google sıralamasını etkiler mi?
- Küçük işletmeler önce SEO mu GEO mu yapmalı?
    Her cevap 1–3 cümle olsun; soruyu cevabın içinde doğal biçimde tekrar et.
    İÇ LİNKLER
    - /ai-gorunurluk-nedir/ — “AI görünürlük” anchor metni
- https://ortakalan.io/dextergpt-nedir/ — “AI SEO otomasyonu” anchor metni
    Gelecek URL henüz yayımlanmadıysa linki kırık bırakma; içerik yayımlandıktan sonra eklenmek üzere editör notu koy.
    GÖRSEL ÖNERİLERİ
    - aeo-geo-seo-farki-kapak.webp | Alt: AEO GEO ve SEO kavramlarını üç kesişen daireyle gösteren kapak
- aeo-geo-seo-karsilastirma.webp | Alt: AEO GEO ve SEO karşılaştırma matrisi
- arama-optimizasyonu-yol-haritasi.webp | Alt: SEO’dan AI görünürlüğüne birleşik optimizasyon yol haritası
- saas-sayfa-audit-ornegi.webp | Alt: Bir SaaS sayfasının SEO AEO GEO mini audit görseli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https://developers.google.com/search/docs/appearance/ai-features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4"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5" ht="170" customHeight="1">
      <x:c r="A5" s="71" t="str">
        <x:v>AI Görünürlük Skoru Nedir? Hesaplama, Benchmark ve Yorumlama</x:v>
      </x:c>
      <x:c r="B5" s="71" t="str">
        <x:v>AI görünürlük skoru</x:v>
      </x:c>
      <x:c r="C5" s="71" t="str">
        <x:v>Bilgilendirici</x:v>
      </x:c>
      <x:c r="D5" s="71" t="str">
        <x:v>AI Görünürlük Skoru Nedir?</x:v>
      </x:c>
      <x:c r="E5" s="71" t="str">
        <x:v>AI görünürlük skoru nasıl hesaplanır, iyi skor kaçtır ve ChatGPT görünürlük metriği nasıl yorumlanır? Örnek formülü görün, kendi benchmark’ınızı kurun.</x:v>
      </x:c>
      <x:c r="F5" s="75" t="str">
        <x:v>TEMPLATE: HubSpot “What Is”
    HEDEF UZUNLUK: 1.500–2.000 kelime; 2.500 kelimeyi geçme.
    OKUYUCU: SEO analistleri, pazarlama yöneticileri, ajans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skoru
    - İlgili/uzun kuyruklu: AI visibility score, ChatGPT görünürlük skoru, LLM visibility score, AI share of voice, marka mention oranı, AI citation oranı, prompt coverage, AI benchmark, rakip görünürlük skoru, AI sıralama metriği, GEO KPI, AI görünürlük ölçümü
    - Birincil anahtar kelimeyi ilk 100 kelime içinde doğal biçimde kullan.
    - Anahtar kelimeyi en az 3 başlıkta doğal ve dilbilgisel olarak kullan; keyword stuffing yapma.
    AÇILIŞ
    - H1: AI Görünürlük Skoru Nedir? Hesaplama, Benchmark ve Yorumlama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yazılar genellikle araca ait tek yüzdeyi açıklıyor. Bu yazı skoru bileşenlerine ayırmalı, örneklem yanlılığını ve yanlış karşılaştırma riskini göstermeli.
    ZORUNLU ÖZGÜN KANIT / PROPRIETARY INFORMATION
    Ağırlıklı ve ağırlıksız iki ayrı skor modeli oluşturun; 30 promptluk örnek veriyle yüksek niyetli promptların toplam skoru nasıl değiştirdiğini hesaplayın.
    Bu çalışma yapılmadan yazıyı yayıma hazır sayma. Test tarihi, prompt sayısı, platformlar, dil/ülke ve yöntem açıkça belirtilsin. Veri üretilemezse sonuç uydurma; “test henüz yapılmadı” notu bırak.
    İÇERİK PLANI
    H2 — AI Görünürlük Skoru Nedir?
Skorun, seçilen prompt setinde bir markanın görünme ve/veya önerilme oranını özetleyen araç bağımlı bir metrik olduğunu açıklayın.
H2 — AI Görünürlük Skorunun Bileşenleri
Prompt coverage, mention rate, recommendation rate, citation rate, position, sentiment ve platform kapsamını tanımlayın.
H2 — Basit AI Görünürlük Skoru Nasıl Hesaplanır?
Formül ve 10 promptluk sayısal örnek verin.
H2 — Ağırlıklı Skor Neden Daha Anlamlı Olabilir?
Yüksek satın alma niyetli promptlara ağırlık verme örneği ve risklerini anlatın.
H2 — İyi AI Görünürlük Skoru Kaçtır?
Evrensel eşik olmadığını; sektör, marka bilinirliği, prompt seti ve rakip sayısına göre benchmark kurulması gerektiğini vurgulayın.
H2 — Skoru Yanlış Yorumlamanın 6 Yolu
Az prompt, farklı tarih/model, sadece mention, marka sorguları, lokasyon/dil farkı, citation kalitesini yok sayma.
H2 — Kendi Benchmark’ınızı Nasıl Kurarsınız?
Baseline, 3-5 rakip, sabit prompt seti, platform bazlı kırılım, aylık yeniden tarama ve değişiklik günlüğü adımları.
H2 — Sonuç
Skoru tek başına hedef değil, karar destek metriği olarak konumlandırın.
    SONUÇ
    - 100–150 kelime.
    - Yalnızca ana bulguları özetle; yeni bilgi veya yeni iddia ekleme.
    - CTA’yı tek paragrafta, doğal ve baskısız biçimde kullan.
    SSS
    3–7 soru kullan; aşağıdaki sorular long-tail hedefleridir ve mevcut H2’leri tekrar etmemelidir:
    - AI görünürlük skoru yüzde kaç olmalı?
- AI görünürlük skoru neden her araçta farklıdır?
- Marka sorguları skora dahil edilmeli mi?
- AI share of voice nasıl hesaplanır?
- Görünürlük skoru ne sıklıkla güncellenmeli?
    Her cevap 1–3 cümle olsun; soruyu cevabın içinde doğal biçimde tekrar et.
    İÇ LİNKLER
    - /ai-gorunurluk-nedir/ — “AI görünürlük nedir” anchor metni
- /rank-prompt-nedir/ — “AI görünürlük skoru ölçen araç” anchor metni
    Gelecek URL henüz yayımlanmadıysa linki kırık bırakma; içerik yayımlandıktan sonra eklenmek üzere editör notu koy.
    GÖRSEL ÖNERİLERİ
    - ai-gorunurluk-skoru-kapak.webp | Alt: AI görünürlük skoru göstergesi ve marka ikonları
- ai-skor-formulu.webp | Alt: AI görünürlük skoru örnek hesaplama formülü
- agirlikli-ai-skoru.webp | Alt: Ağırlıklı ve ağırlıksız AI görünürlük skoru karşılaştırması
- ai-benchmark-dashboard.webp | Alt: Rakiplere göre AI görünürlük benchmark dashboard örneği
    Kapak + en az 3 ek görsel kullan. Ekran görüntülerinde tarih ve veri kaynağı belirt; kişisel/müşteri verilerini maskele.
    KAYNAKLAR
    Öncelikle resmi ve birincil kaynakları kullan:
    - https://rankprompt.com/llm-info/
- https://rankprompt.com/ai-visibility-benchmarks-where-do-you-stand/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5"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6" ht="170" customHeight="1">
      <x:c r="A6" s="71" t="str">
        <x:v>ChatGPT’de Marka Görünürlüğü Nasıl Ölçülür? 8 Adımlı Sistem</x:v>
      </x:c>
      <x:c r="B6" s="71" t="str">
        <x:v>ChatGPT marka görünürlüğü ölçme</x:v>
      </x:c>
      <x:c r="C6" s="71" t="str">
        <x:v>Bilgilendirici / ticari araştırma</x:v>
      </x:c>
      <x:c r="D6" s="71" t="str">
        <x:v>ChatGPT Marka Görünürlüğü Nasıl Ölçülür?</x:v>
      </x:c>
      <x:c r="E6" s="71" t="str">
        <x:v>ChatGPT marka görünürlüğü nasıl ölçülür ve ChatGPT’de marka takibi hangi metriklerle yapılır? 8 adımlı sistemi uygulayın, sonuçları düzenli olarak izleyin.</x:v>
      </x:c>
      <x:c r="F6" s="75" t="str">
        <x:v>TEMPLATE: Contact Studios How-To — ürün tie-in
    HEDEF UZUNLUK: 1.500–2.000 kelime; 2.500 kelimeyi geçme.
    OKUYUCU: Marka yöneticileri, SEO uzmanları, SaaS ve e-ticaret ekipleri
    FUNNEL AŞAMASI: Değerlendirme
    ARAMA NİYETİ: Bilgilendirici / ticari araştırma
    TON: Profesyonel, anlaşılır, kanıta dayalı ve tarafsız. Reklam dili, abartı, “garantili görünürlük” ve doğrulanmamış üstünlük iddiaları kullanma.
    ANAHTAR KELİMELER
    - Birincil: ChatGPT marka görünürlüğü ölçme
    - İlgili/uzun kuyruklu: ChatGPT marka takibi, ChatGPT’de görünürlük, ChatGPT mention tracking, ChatGPT brand monitoring, ChatGPT öneri takibi, AI marka ölçümü, ChatGPT citation tracking, ChatGPT rakip analizi, LLM prompt tracking, ChatGPT görünürlük raporu, AI share of voice, ChatGPT marka denetimi
    - Birincil anahtar kelimeyi ilk 100 kelime içinde doğal biçimde kullan.
    - Anahtar kelimeyi en az 3 başlıkta doğal ve dilbilgisel olarak kullan; keyword stuffing yapma.
    AÇILIŞ
    - H1: ChatGPT’de Marka Görünürlüğü Nasıl Ölçülür? 8 Adımlı Sistem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rehberler genellikle birkaç manuel sorgu öneriyor. Bu yazı prompt örneklemi, tekrar sayısı, tarih/model kaydı ve ağırlıklı KPI ile yeniden üretilebilir bir protokol vermeli.
    ZORUNLU ÖZGÜN KANIT / PROPRIETARY INFORMATION
    Türkiye pazarında bir kategori için 30 marka dışı promptu üç niyet seviyesine ayırın; aynı gün iki tekrar yaparak cevap değişkenliğini ve marka görünme oranını tabloya ekleyin.
    Bu çalışma yapılmadan yazıyı yayıma hazır sayma. Test tarihi, prompt sayısı, platformlar, dil/ülke ve yöntem açıkça belirtilsin. Veri üretilemezse sonuç uydurma; “test henüz yapılmadı” notu bırak.
    İÇERİK PLANI
    H2 — ChatGPT Marka Görünürlüğü Ölçmeden Önce Bilmeniz Gerekenler
Tek bir sohbetin temsil edici olmadığını; model, tarih, konum ve prompt formunun sonuçları etkileyebileceğini açıklayın.
H2 — ChatGPT Marka Görünürlüğü Ölçme Adımları
Öne çıkan 8 adımı numaralı kısa liste olarak verin.
H2 — 1. İş Hedefini ve Kategoriyi Tanımlayın
Keşif, karşılaştırma, satın alma ve destek amaçlarını ayırın.
H2 — 2. Marka Dışı Prompt Seti Oluşturun
En az 25-50 prompt; problem, kategori, karşılaştırma ve yerel niyet örnekleri verin.
H2 — 3. Rakip Setini Sabitleyin
3-5 doğrudan rakip ve kategori lideri seçin.
H2 — 4. Test Koşullarını Kaydedin
Tarih, model, dil, ülke, oturum durumu ve prompt metni.
H2 — 5. Mention, Öneri, Sıra ve Citation Verisini Toplayın
Her KPI için veri sözlüğü oluşturun.
H2 — 6. Sonuçları Ağırlıklandırın
Yüksek niyetli promptlara daha fazla ağırlık verin.
H2 — 7. Boşlukları İçerik, Teknik ve Otorite Olarak Sınıflandırın
Her boşluk için sahip, aksiyon ve son tarih belirleyin.
H2 — 8. Aynı Promptlarla Yeniden Ölçün
Değişiklik günlüğü ve aylık trend oluşturun.
H2 — Manuel Ölçüm mü, AI Görünürlük Aracı mı?
Zaman, tutarlılık, ölçek, arşiv ve raporlama açısından karşılaştırın; Rank Prompt’u yalnızca ilgili çözüm örneği olarak konumlandırın.
H2 — Sonuç
Tek seferlik test yerine sabit protokolün önemini özetleyin.
    SONUÇ
    - 100–150 kelime.
    - Yalnızca ana bulguları özetle; yeni bilgi veya yeni iddia ekleme.
    - CTA’yı tek paragrafta, doğal ve baskısız biçimde kullan.
    SSS
    3–7 soru kullan; aşağıdaki sorular long-tail hedefleridir ve mevcut H2’leri tekrar etmemelidir:
    - ChatGPT marka görünürlüğü ücretsiz nasıl ölçülür?
- ChatGPT aynı soruya neden farklı marka önerir?
- Kaç prompt ile güvenilir sonuç alınır?
- ChatGPT’de marka sırası nasıl kaydedilir?
- ChatGPT görünürlük takibi aylık mı yapılmalı?
    Her cevap 1–3 cümle olsun; soruyu cevabın içinde doğal biçimde tekrar et.
    İÇ LİNKLER
    - /ai-gorunurluk-skoru/ — “AI görünürlük skoru” anchor metni
- /rank-prompt-nedir/ — “otomatik ChatGPT görünürlük takibi” anchor metni
    Gelecek URL henüz yayımlanmadıysa linki kırık bırakma; içerik yayımlandıktan sonra eklenmek üzere editör notu koy.
    GÖRSEL ÖNERİLERİ
    - chatgpt-marka-gorunurlugu-kapak.webp | Alt: ChatGPT yanıtında marka görünürlüğü ölçümünü gösteren kapak
- chatgpt-prompt-seti.webp | Alt: Keşif karşılaştırma ve satın alma prompt seti örnekleri
- chatgpt-gorunurluk-tablosu.webp | Alt: Mention öneri sıra ve citation veri toplama tablosu
- chatgpt-olcum-is-akisi.webp | Alt: 8 adımlı ChatGPT marka görünürlüğü ölçüm akışı
    Kapak + en az 3 ek görsel kullan. Ekran görüntülerinde tarih ve veri kaynağı belirt; kişisel/müşteri verilerini maskele.
    KAYNAKLAR
    Öncelikle resmi ve birincil kaynakları kullan:
    - https://rankprompt.com/
- https://help.openai.com/en/articles/12627856-publishers-and-developers-faq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6"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7" ht="170" customHeight="1">
      <x:c r="A7" s="71" t="str">
        <x:v>LLM Görünürlük Takibi Nasıl Yapılır? Platformlar Arası Rehber</x:v>
      </x:c>
      <x:c r="B7" s="71" t="str">
        <x:v>LLM görünürlük takibi</x:v>
      </x:c>
      <x:c r="C7" s="71" t="str">
        <x:v>Bilgilendirici / ticari araştırma</x:v>
      </x:c>
      <x:c r="D7" s="71" t="str">
        <x:v>LLM Görünürlük Takibi Nasıl Yapılır?</x:v>
      </x:c>
      <x:c r="E7" s="71" t="str">
        <x:v>LLM görünürlük takibi nasıl yapılır, AI platformları arası marka görünürlüğü nasıl karşılaştırılır? Prompt setini kurun, KPI’ları ölçün, trendleri izleyin.</x:v>
      </x:c>
      <x:c r="F7" s="75" t="str">
        <x:v>TEMPLATE: Contact Studios How-To — ürün tie-in
    HEDEF UZUNLUK: 1.500–2.000 kelime; 2.500 kelimeyi geçme.
    OKUYUCU: SEO ve growth ekipleri, veri analistleri, ajanslar
    FUNNEL AŞAMASI: Değerlendirme
    ARAMA NİYETİ: Bilgilendirici / ticari araştırma
    TON: Profesyonel, anlaşılır, kanıta dayalı ve tarafsız. Reklam dili, abartı, “garantili görünürlük” ve doğrulanmamış üstünlük iddiaları kullanma.
    ANAHTAR KELİMELER
    - Birincil: LLM görünürlük takibi
    - İlgili/uzun kuyruklu: LLM marka takibi, AI visibility tracking, ChatGPT Gemini marka takibi, Perplexity görünürlük takibi, Claude marka görünürlüğü, Grok marka takibi, AI platform karşılaştırması, prompt monitoring, LLM citation tracking, AI mention tracking, multi-LLM tracking, AI visibility dashboard
    - Birincil anahtar kelimeyi ilk 100 kelime içinde doğal biçimde kullan.
    - Anahtar kelimeyi en az 3 başlıkta doğal ve dilbilgisel olarak kullan; keyword stuffing yapma.
    AÇILIŞ
    - H1: LLM Görünürlük Takibi Nasıl Yapılır? Platformlar Arası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içerik tek platforma odaklanıyor veya araç listesi veriyor. Bu yazı platformlar arası standardizasyon ve sonuçların neden doğrudan eşitlenemeyeceğini açıklamalı.
    ZORUNLU ÖZGÜN KANIT / PROPRIETARY INFORMATION
    Aynı 15 promptu altı platformda çalıştırın; marka var/yok, öneri sırası, kaynak linki ve cevap tutarlılığını platform bazında karşılaştıran özgün 6x15 matris yayınlayın.
    Bu çalışma yapılmadan yazıyı yayıma hazır sayma. Test tarihi, prompt sayısı, platformlar, dil/ülke ve yöntem açıkça belirtilsin. Veri üretilemezse sonuç uydurma; “test henüz yapılmadı” notu bırak.
    İÇERİK PLANI
    H2 — LLM Görünürlük Takibi Nedir?
Bir markanın farklı büyük dil modeli ve AI arama arayüzlerinde ne ölçüde temsil edildiğini düzenli izleme süreci olarak tanımlayın.
H2 — Neden Tek Bir AI Platformu Yeterli Değil?
Kapsam, kaynak kullanımı, kullanıcı kitlesi ve cevap formatı farklarını açıklayın.
H2 — Platformlar Arası Ölçüm Çerçevesi
ChatGPT, Perplexity, Google AI Mode, Claude, Gemini ve Grok için ortak ve platforma özgü metrikler.
H2 — 1. Evrensel Prompt Seti Kurun
Dil, niyet ve marka dışı sorgu dengesi.
H2 — 2. Platforma Özgü Test Koşullarını Kaydedin
Model/sürüm, arama özelliği, tarih, lokasyon, oturum.
H2 — 3. Ortak Veri Şeması Oluşturun
Mention, rank, citation URL, sentiment, answer accuracy, competitor.
H2 — 4. Platform Bazlı ve Birleşik Skor Hesaplayın
Basit formül ve ağırlıklandırma örneği.
H2 — 5. Değişkenliği Ölçün
Aynı promptu tekrar ederek cevap stabilitesini kaydedin.
H2 — 6. Trend ve Aksiyon Günlüğü Tutun
İçerik, schema, PR ve teknik değişiklikleri skor hareketleriyle eşleyin.
H2 — Araç Seçerken Nelere Bakılmalı?
Platform kapsamı, prompt arşivi, kaynak takibi, rakipler, export, API, ajans özellikleri ve fiyat şeffaflığı.
H2 — Sonuç
Çoklu platform takibinin tek skor değil karar sistemi olduğunu vurgulayın.
    SONUÇ
    - 100–150 kelime.
    - Yalnızca ana bulguları özetle; yeni bilgi veya yeni iddia ekleme.
    - CTA’yı tek paragrafta, doğal ve baskısız biçimde kullan.
    SSS
    3–7 soru kullan; aşağıdaki sorular long-tail hedefleridir ve mevcut H2’leri tekrar etmemelidir:
    - LLM görünürlük takibi için kaç platform yeterli?
- ChatGPT ve Perplexity sonuçları neden farklıdır?
- LLM görünürlüğü her gün ölçülmeli mi?
- AI platformları arası ortak skor oluşturulabilir mi?
- LLM marka takibi manuel yapılabilir mi?
    Her cevap 1–3 cümle olsun; soruyu cevabın içinde doğal biçimde tekrar et.
    İÇ LİNKLER
    - /chatgpt-marka-gorunurlugu-olcme/ — “ChatGPT marka görünürlüğü ölçme”
- /ai-gorunurluk-skoru/ — “AI görünürlük skoru”
    Gelecek URL henüz yayımlanmadıysa linki kırık bırakma; içerik yayımlandıktan sonra eklenmek üzere editör notu koy.
    GÖRSEL ÖNERİLERİ
    - llm-gorunurluk-takibi-kapak.webp | Alt: Farklı AI platformlarında marka görünürlüğünü gösteren kapak
- multi-llm-karsilastirma-matrisi.webp | Alt: Altı AI platformu için görünürlük karşılaştırma matrisi
- llm-veri-semasi.webp | Alt: Mention rank citation ve sentiment veri şeması
- llm-trend-dashboard.webp | Alt: Platform bazlı AI görünürlük trend dashboard örneği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7"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8" ht="170" customHeight="1">
      <x:c r="A8" s="71" t="str">
        <x:v>AI Aramada Rakip Analizi Nasıl Yapılır? Prompt Bazlı Yöntem</x:v>
      </x:c>
      <x:c r="B8" s="71" t="str">
        <x:v>AI arama rakip analizi</x:v>
      </x:c>
      <x:c r="C8" s="71" t="str">
        <x:v>Bilgilendirici / ticari araştırma</x:v>
      </x:c>
      <x:c r="D8" s="71" t="str">
        <x:v>AI Aramada Rakip Analizi Nasıl Yapılır?</x:v>
      </x:c>
      <x:c r="E8" s="71" t="str">
        <x:v>AI arama rakip analizi nasıl yapılır ve ChatGPT rakip görünürlüğü hangi promptlarla ölçülür? Boşlukları bulun, önceliklendirin ve aksiyon planı çıkarın.</x:v>
      </x:c>
      <x:c r="F8" s="75" t="str">
        <x:v>TEMPLATE: Contact Studios How-To — ürün tie-in
    HEDEF UZUNLUK: 1.500–2.000 kelime; 2.500 kelimeyi geçme.
    OKUYUCU: SEO liderleri, kategori yöneticileri, ajans stratejistleri
    FUNNEL AŞAMASI: Değerlendirme
    ARAMA NİYETİ: Bilgilendirici / ticari araştırma
    TON: Profesyonel, anlaşılır, kanıta dayalı ve tarafsız. Reklam dili, abartı, “garantili görünürlük” ve doğrulanmamış üstünlük iddiaları kullanma.
    ANAHTAR KELİMELER
    - Birincil: AI arama rakip analizi
    - İlgili/uzun kuyruklu: ChatGPT rakip analizi, AI competitor analysis, LLM rakip takibi, AI share of voice, rakip mention analizi, AI citation gap, prompt gap analizi, GEO rakip analizi, AI search market share, rakip kaynak analizi, AI recommendation tracking, LLM benchmarking
    - Birincil anahtar kelimeyi ilk 100 kelime içinde doğal biçimde kullan.
    - Anahtar kelimeyi en az 3 başlıkta doğal ve dilbilgisel olarak kullan; keyword stuffing yapma.
    AÇILIŞ
    - H1: AI Aramada Rakip Analizi Nasıl Yapılır? Prompt Bazlı Yöntem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Araç listeleri görünürlüğü sayıyor ancak rakibin neden önerildiğini ayrıştırmıyor. Yazı içerik, entity, üçüncü taraf kaynak ve ürün kanıtı olmak üzere dört neden kategorisi sunmalı.
    ZORUNLU ÖZGÜN KANIT / PROPRIETARY INFORMATION
    Üç rakip için 40 promptta 'hangi marka, hangi gerekçeyle, hangi kaynakla önerildi?' kodlaması yapın; en sık tekrar eden 5 rakip kanıt türünü özgün tablo halinde yayınlayın.
    Bu çalışma yapılmadan yazıyı yayıma hazır sayma. Test tarihi, prompt sayısı, platformlar, dil/ülke ve yöntem açıkça belirtilsin. Veri üretilemezse sonuç uydurma; “test henüz yapılmadı” notu bırak.
    İÇERİK PLANI
    H2 — AI Arama Rakip Analizi Nedir?
Rakiplerin AI yanıtlarında hangi promptlarda, hangi konumda ve hangi kanıtlarla önerildiğini inceleme süreci olarak tanımlayın.
H2 — Klasik Rakip Analizinden Farkı
Keyword/URL sıralaması yerine answer-level mention, citation ve gerekçe analizi.
H2 — 1. Doğru Rakip Setini Kurun
Doğrudan rakip, kategori lideri, yerel oyuncu ve AI tarafından sık önerilen sürpriz rakip.
H2 — 2. Satın Alma Yolculuğuna Göre Prompt Haritası Oluşturun
Problem, kategori, karşılaştırma, fiyat, alternatif ve yerel prompt örnekleri.
H2 — 3. Görünürlük ve Share of Voice Ölçün
Platform ve niyet bazlı tablo.
H2 — 4. Citation ve Kaynak Boşluğunu Analiz Edin
Rakiplerin tekrar eden kaynaklarını, erişilebilirlik ve otorite açısından sınıflandırın.
H2 — 5. Rakibin Önerilme Gerekçesini Kodlayın
Fiyat, özellik, güven, inceleme, dağıtım, yerellik, uzmanlık gibi nedenler.
H2 — 6. Boşlukları Etki ve Eforla Önceliklendirin
Hızlı kazanım, orta vadeli içerik, uzun vadeli PR/otorite matrisi.
H2 — 7. Yeniden Tarama ile Etkiyi Ölçün
Aynı prompt seti ve değişiklik günlüğü kullanın.
H2 — Rank Prompt ile Rakip Görünürlüğü Nasıl İzlenir?
Ürünü bir örnek olarak tarafsızca gösterin; rakip ranking, prompt-level gaps ve citation kaynaklarının nasıl okunacağını anlatın.
H2 — Sonuç
Rakip mention sayısından çok 'neden' ve 'hangi prompt' sorularını özetleyin.
    SONUÇ
    - 100–150 kelime.
    - Yalnızca ana bulguları özetle; yeni bilgi veya yeni iddia ekleme.
    - CTA’yı tek paragrafta, doğal ve baskısız biçimde kullan.
    SSS
    3–7 soru kullan; aşağıdaki sorular long-tail hedefleridir ve mevcut H2’leri tekrar etmemelidir:
    - AI arama rakipleri nasıl belirlenir?
- ChatGPT’de en çok önerilen rakip nasıl bulunur?
- AI share of voice ne demektir?
- Rakip citation kaynakları nasıl analiz edilir?
- AI rakip analizi ne sıklıkla yenilenmeli?
    Her cevap 1–3 cümle olsun; soruyu cevabın içinde doğal biçimde tekrar et.
    İÇ LİNKLER
    - /llm-gorunurluk-takibi/ — “LLM görünürlük takibi”
- /rank-prompt-nedir/ — “AI rakip analizi aracı”
    Gelecek URL henüz yayımlanmadıysa linki kırık bırakma; içerik yayımlandıktan sonra eklenmek üzere editör notu koy.
    GÖRSEL ÖNERİLERİ
    - ai-arama-rakip-analizi-kapak.webp | Alt: AI yanıtlarında rakip marka karşılaştırmasını gösteren kapak
- prompt-rakip-haritasi.webp | Alt: Satın alma yolculuğuna göre rakip prompt haritası
- ai-citation-gap.webp | Alt: Rakip kaynak ve citation boşluğu analizi
- etki-efor-matrisi.webp | Alt: AI görünürlük aksiyonları için etki efor matrisi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8"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9" ht="170" customHeight="1">
      <x:c r="A9" s="71" t="str">
        <x:v>AI Görünürlük Raporu Nasıl Hazırlanır? Şablon ve KPI’lar</x:v>
      </x:c>
      <x:c r="B9" s="71" t="str">
        <x:v>AI görünürlük raporu</x:v>
      </x:c>
      <x:c r="C9" s="71" t="str">
        <x:v>Bilgilendirici</x:v>
      </x:c>
      <x:c r="D9" s="71" t="str">
        <x:v>AI Görünürlük Raporu Nasıl Hazırlanır?</x:v>
      </x:c>
      <x:c r="E9" s="71" t="str">
        <x:v>AI görünürlük raporu nasıl hazırlanır, ChatGPT görünürlük KPI’ları ve AI share of voice nasıl sunulur? Şablonu uygulayın, aksiyon odaklı rapor oluşturun.</x:v>
      </x:c>
      <x:c r="F9" s="75" t="str">
        <x:v>TEMPLATE: Contact Studios How-To — ürün tie-in
    HEDEF UZUNLUK: 1.500–2.000 kelime; 2.500 kelimeyi geçme.
    OKUYUCU: Ajans hesap yöneticileri, CMO’lar, SEO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raporu
    - İlgili/uzun kuyruklu: ChatGPT görünürlük raporu, AI visibility report, GEO raporu, LLM raporlama, AI share of voice raporu, AI citation report, AI rakip raporu, prompt performance report, AI visibility dashboard, ajans AI raporu, AI KPI şablonu, marka görünürlük raporu
    - Birincil anahtar kelimeyi ilk 100 kelime içinde doğal biçimde kullan.
    - Anahtar kelimeyi en az 3 başlıkta doğal ve dilbilgisel olarak kullan; keyword stuffing yapma.
    AÇILIŞ
    - H1: AI Görünürlük Raporu Nasıl Hazırlanır? Şablon ve KPI’lar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metrikleri anlatıyor fakat karar vericinin okuyabileceği rapor yapısı vermiyor. Yazı KPI + değişiklik günlüğü + aksiyon sahibi + son tarih içermeli.
    ZORUNLU ÖZGÜN KANIT / PROPRIETARY INFORMATION
    İndirilebilir olmadan da yazı içinde kopyalanabilir 1 sayfalık yönetici özeti ve 12 sütunlu veri sözlüğü verin; örnek raporu gerçek 20 promptluk mini taramayla doldurun.
    Bu çalışma yapılmadan yazıyı yayıma hazır sayma. Test tarihi, prompt sayısı, platformlar, dil/ülke ve yöntem açıkça belirtilsin. Veri üretilemezse sonuç uydurma; “test henüz yapılmadı” notu bırak.
    İÇERİK PLANI
    H2 — İyi Bir AI Görünürlük Raporu Ne Cevaplamalı?
Neredeyiz, rakipler nerede, neden, ne değişti, sıradaki aksiyon ne ve başarı nasıl ölçülecek sorularını listeleyin.
H2 — AI Görünürlük Raporu Bölümleri
Yönetici özeti, kapsam/metodoloji, KPI, prompt detayları, citation kaynakları, rakipler, bulgular, aksiyon planı.
H2 — 1. Kapsam ve Metodolojiyi Yazın
Platform, tarih, ülke, dil, model, prompt sayısı ve tekrar sayısı.
H2 — 2. Ana KPI’ları Seçin
Mention rate, recommendation rate, citation rate, weighted visibility, share of voice, sentiment/accuracy.
H2 — 3. Prompt Bazlı Sonuçları Gösterin
Yüksek niyetli kaçırılan promptları üstte sıralayın.
H2 — 4. Citation ve Kaynakları Sınıflandırın
Sahip olunan, kazanılan ve üçüncü taraf kaynaklar.
H2 — 5. Rakip Karşılaştırmasını Görselleştirin
Platform ve funnel aşaması bazlı grafikler.
H2 — 6. Bulguları Aksiyona Çevirin
Aksiyon, sahip, tahmini etki, efor, son tarih, yeniden test tarihi.
H2 — 7. Yönetici Özetini Bir Sayfada Tutun
En önemli üç içgörü ve üç öncelik.
H2 — Raporlama Hataları
Yöntemi saklama, küçük örneklem, vanity score, değişiklik günlüğü tutmama, garanti iddiası.
H2 — Sonuç
Raporun dashboard değil karar aracı olduğunu özetleyin.
    SONUÇ
    - 100–150 kelime.
    - Yalnızca ana bulguları özetle; yeni bilgi veya yeni iddia ekleme.
    - CTA’yı tek paragrafta, doğal ve baskısız biçimde kullan.
    SSS
    3–7 soru kullan; aşağıdaki sorular long-tail hedefleridir ve mevcut H2’leri tekrar etmemelidir:
    - AI görünürlük raporunda hangi KPI’lar olmalı?
- ChatGPT görünürlük raporu müşteriye nasıl sunulur?
- AI görünürlük raporu kaç prompt içermeli?
- AI share of voice raporda nasıl gösterilir?
- AI görünürlük raporu aylık mı hazırlanmalı?
    Her cevap 1–3 cümle olsun; soruyu cevabın içinde doğal biçimde tekrar et.
    İÇ LİNKLER
    - /ai-gorunurluk-skoru/ — “AI görünürlük skoru”
- /ai-arama-rakip-analizi/ — “AI rakip analizi”
    Gelecek URL henüz yayımlanmadıysa linki kırık bırakma; içerik yayımlandıktan sonra eklenmek üzere editör notu koy.
    GÖRSEL ÖNERİLERİ
    - ai-gorunurluk-raporu-kapak.webp | Alt: AI görünürlük raporu ve KPI dashboard kapak görseli
- ai-rapor-yonetici-ozeti.webp | Alt: Tek sayfalık AI görünürlük yönetici özeti
- ai-kpi-veri-sozlugu.webp | Alt: AI görünürlük KPI veri sözlüğü tablosu
- ai-aksiyon-plani.webp | Alt: Sahip tarih etki ve efor içeren aksiyon planı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9"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0" ht="170" customHeight="1">
      <x:c r="A10" s="71" t="str">
        <x:v>ChatGPT Markanızı Neden Önermiyor? 9 Olası Neden ve Çözüm</x:v>
      </x:c>
      <x:c r="B10" s="71" t="str">
        <x:v>ChatGPT markamı neden önermiyor</x:v>
      </x:c>
      <x:c r="C10" s="71" t="str">
        <x:v>Bilgilendirici / problem çözme</x:v>
      </x:c>
      <x:c r="D10" s="71" t="str">
        <x:v>ChatGPT Markanızı Neden Önermiyor?</x:v>
      </x:c>
      <x:c r="E10" s="71" t="str">
        <x:v>ChatGPT markamı neden önermiyor diyorsanız 9 olası nedeni kontrol edin. AI citation eksikliği, içerik ve teknik sorunları bulun; düzeltme planını uygulayın.</x:v>
      </x:c>
      <x:c r="F10" s="75" t="str">
        <x:v>TEMPLATE: HubSpot List Post
    HEDEF UZUNLUK: 1.500–2.000 kelime; 2.500 kelimeyi geçme.
    OKUYUCU: Kurucular, marka ve içerik ekipleri, SEO uzmanları
    FUNNEL AŞAMASI: Farkındalık
    ARAMA NİYETİ: Bilgilendirici / problem çözme
    TON: Profesyonel, anlaşılır, kanıta dayalı ve tarafsız. Reklam dili, abartı, “garantili görünürlük” ve doğrulanmamış üstünlük iddiaları kullanma.
    ANAHTAR KELİMELER
    - Birincil: ChatGPT markamı neden önermiyor
    - İlgili/uzun kuyruklu: ChatGPT markamı göstermiyor, ChatGPT markamı bilmiyor, ChatGPT marka önerisi, AI marka görünmezliği, ChatGPT citation eksikliği, AI crawler engeli, marka entity sinyalleri, ChatGPT yanlış bilgi, GEO sorunları, AI görünürlük düşüklüğü, LLM marka algısı, ChatGPT önerilme
    - Birincil anahtar kelimeyi ilk 100 kelime içinde doğal biçimde kullan.
    - Anahtar kelimeyi en az 3 başlıkta doğal ve dilbilgisel olarak kullan; keyword stuffing yapma.
    AÇILIŞ
    - H1: ChatGPT Markanızı Neden Önermiyor? 9 Olası Neden ve Çözüm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içerikler genellikle 'daha çok içerik yazın' diyor. Bu yazı teknik erişim, entity tutarlılığı, kategori kanıtı, üçüncü taraf kaynak ve prompt uyumsuzluğunu ayrı teşhis etmeli.
    ZORUNLU ÖZGÜN KANIT / PROPRIETARY INFORMATION
    Dokuz neden için bir tanı ağacı hazırlayın ve gerçek bir siteyi robots, entity bilgisi, içerik kapsamı, üçüncü taraf mention ve 20 prompt baseline üzerinden anonimleştirerek test edin.
    Bu çalışma yapılmadan yazıyı yayıma hazır sayma. Test tarihi, prompt sayısı, platformlar, dil/ülke ve yöntem açıkça belirtilsin. Veri üretilemezse sonuç uydurma; “test henüz yapılmadı” notu bırak.
    İÇERİK PLANI
    H2 — ChatGPT’nin Marka Önermemesi Tek Bir Nedene Bağlı Değildir
İlk cümlede soruyu yanıtlayın; görünmezliğin veri, erişim, otorite, içerik ve prompt kapsamından kaynaklanabileceğini söyleyin.
H2 — 1. Marka Kategoriyle Açık Şekilde İlişkilendirilmiyor
Ana sayfa ve ürün sayfalarında kategori, hedef kitle ve değer önerisi netliği.
H2 — 2. OAI-SearchBot İçeriğe Erişemiyor
robots.txt, noindex ve erişim kontrolleri.
H2 — 3. İçerik Satın Alma Sorularını Yanıtlamıyor
Problem, alternatif, use-case, karşılaştırma ve fiyat bağlamı.
H2 — 4. Üçüncü Taraf Kaynaklarda Yeterli Kanıt Yok
İnceleme, medya, dizin, uzman kaynak ve gerçek mention.
H2 — 5. Marka Bilgileri Tutarsız
İsim, URL, ürün tanımı, konum ve fiyat bilgisinin web genelinde tutarlılığı.
H2 — 6. İçerik Özgün Kanıt Sunmuyor
Veri, vaka, ekran görüntüsü, uzman görüşü ve birinci el deneyim.
H2 — 7. Teknik SEO ve İndekslenme Sorunları Var
Crawl, render, canonical, snippet eligibility ve site performansı.
H2 — 8. Yanlış Promptlarla Test Ediyorsunuz
Marka içeren sorgular, çok dar/çok geniş promptlar ve düşük niyet.
H2 — 9. AI Yanıtları Değişken ve Zamana Bağlı
Tek testle karar vermeme, tekrar ve trend izleme.
H2 — 90 Dakikalık Tanı Kontrol Listesi
Teknik, içerik, entity, kaynak ve ölçüm adımları.
H2 — Sonuç
Garantili önerilme olmadığını; ölçüm ve kanıt geliştirme döngüsünü özetleyin.
    SONUÇ
    - 100–150 kelime.
    - Yalnızca ana bulguları özetle; yeni bilgi veya yeni iddia ekleme.
    - CTA’yı tek paragrafta, doğal ve baskısız biçimde kullan.
    SSS
    3–7 soru kullan; aşağıdaki sorular long-tail hedefleridir ve mevcut H2’leri tekrar etmemelidir:
    - ChatGPT’ye markamı nasıl tanıtabilirim?
- OAI-SearchBot engellenirse ne olur?
- ChatGPT yanlış marka bilgisi verirse ne yapılır?
- Marka mention sayısı nasıl artırılır?
- ChatGPT markayı ne kadar sürede görür?
    Her cevap 1–3 cümle olsun; soruyu cevabın içinde doğal biçimde tekrar et.
    İÇ LİNKLER
    - /chatgpt-marka-gorunurlugu-olcme/ — “ChatGPT marka görünürlüğünü ölçme”
- /oai-searchbot-gptbot-robots-txt/ — “OAI-SearchBot robots.txt ayarı”
    Gelecek URL henüz yayımlanmadıysa linki kırık bırakma; içerik yayımlandıktan sonra eklenmek üzere editör notu koy.
    GÖRSEL ÖNERİLERİ
    - chatgpt-markami-onermiyor-kapak.webp | Alt: ChatGPT yanıtında görünmeyen bir markayı gösteren kapak
- chatgpt-gorunmezlik-tani-agaci.webp | Alt: ChatGPT marka görünmezliği tanı ağacı
- robots-ai-crawler-kontrolu.webp | Alt: AI crawler robots.txt kontrol örneği
- 90-dakika-ai-audit.webp | Alt: 90 dakikalık AI görünürlük tanı kontrol listesi
    Kapak + en az 3 ek görsel kullan. Ekran görüntülerinde tarih ve veri kaynağı belirt; kişisel/müşteri verilerini maskele.
    KAYNAKLAR
    Öncelikle resmi ve birincil kaynakları kullan:
    - https://help.openai.com/en/articles/12627856-publishers-and-developers-faq
- https://developers.google.com/search/docs/appearance/ai-features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0"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1" ht="170" customHeight="1">
      <x:c r="A11" s="71" t="str">
        <x:v>AI Arama İçin İçerik Nasıl Optimize Edilir? 10 Adımlı Rehber</x:v>
      </x:c>
      <x:c r="B11" s="71" t="str">
        <x:v>AI arama için içerik optimizasyonu</x:v>
      </x:c>
      <x:c r="C11" s="71" t="str">
        <x:v>Bilgilendirici</x:v>
      </x:c>
      <x:c r="D11" s="71" t="str">
        <x:v>AI Arama İçin İçerik Optimizasyonu</x:v>
      </x:c>
      <x:c r="E11" s="71" t="str">
        <x:v>AI arama için içerik optimizasyonu nasıl yapılır ve ChatGPT’ye uygun içerik nasıl yazılır? 10 adımı uygulayın, ölçülebilir bir görünürlük testi yapın.</x:v>
      </x:c>
      <x:c r="F11" s="75" t="str">
        <x:v>TEMPLATE: Contact Studios How-To — ürün tie-in
    HEDEF UZUNLUK: 1.500–2.000 kelime; 2.500 kelimeyi geçme.
    OKUYUCU: İçerik ekipleri, SEO editörleri, SaaS pazarlamacıları
    FUNNEL AŞAMASI: Farkındalık
    ARAMA NİYETİ: Bilgilendirici
    TON: Profesyonel, anlaşılır, kanıta dayalı ve tarafsız. Reklam dili, abartı, “garantili görünürlük” ve doğrulanmamış üstünlük iddiaları kullanma.
    ANAHTAR KELİMELER
    - Birincil: AI arama için içerik optimizasyonu
    - İlgili/uzun kuyruklu: ChatGPT için içerik optimizasyonu, GEO içerik stratejisi, AEO içerik optimizasyonu, AI dostu içerik, LLM citation content, AI search content, AI cevaplarına uygun içerik, people-first content, özgün veri SEO, entity odaklı içerik, AI content audit, generative search optimization
    - Birincil anahtar kelimeyi ilk 100 kelime içinde doğal biçimde kullan.
    - Anahtar kelimeyi en az 3 başlıkta doğal ve dilbilgisel olarak kullan; keyword stuffing yapma.
    AÇILIŞ
    - H1: AI Arama İçin İçerik Nasıl Optimize Edilir? 10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rehberler kısa cevap ve FAQ’yu aşırı vurguluyor. Google’ın resmi rehberine uygun biçimde özgün, people-first içerik, teknik erişilebilirlik ve ölçüm döngüsünü merkeze alın.
    ZORUNLU ÖZGÜN KANIT / PROPRIETARY INFORMATION
    Ortak Alan’daki mevcut bir yazıyı önce/sonra formatında yeniden düzenleyin; ilk 20 prompt baseline’ı, yapılan değişiklikleri ve 30 gün sonraki yeniden taramayı yayınlayın. Sonuç çıkmazsa bunu da açıkça yazın.
    Bu çalışma yapılmadan yazıyı yayıma hazır sayma. Test tarihi, prompt sayısı, platformlar, dil/ülke ve yöntem açıkça belirtilsin. Veri üretilemezse sonuç uydurma; “test henüz yapılmadı” notu bırak.
    İÇERİK PLANI
    H2 — AI Arama İçin İçerik Optimizasyonu Ne Değildir?
Keyword stuffing, yapay 'AI dili', gereksiz sayfa çoğaltma, sadece llms.txt ve schema ile sonuç bekleme gibi mitleri çürütün.
H2 — AI Arama İçin İçerik Optimizasyonu Adımları
10 adımı featured snippet için kısa listeleyin.
H2 — 1. Gerçek Kullanıcı Problemini Seçin
İş hedefi, arama niyeti ve prompt niyeti eşleştirmesi.
H2 — 2. Rakiplerin Cevaplamadığı Soruyu Bulun
SERP + AI yanıtı gap analizi.
H2 — 3. En Önemli Cevabı Bölümün İlk Cümlesinde Verin
AI extraction ve okuyucu deneyimi için net açılış.
H2 — 4. Birinci El Kanıt Ekleyin
Özgün veri, ekran görüntüsü, uzman görüşü, test veya vaka.
H2 — 5. Entity ve Bağlamı Netleştirin
Kim, ne, kimin için, hangi problemi çözüyor, sınırlamalar.
H2 — 6. İçeriği Mantıklı Başlıklarla Yapılandırın
H2/H3, tablo, adımlar ve kısa paragraflar.
H2 — 7. Kaynakları ve Tarihleri Açıkça Belirtin
Birincil kaynak, güncelleme tarihi ve iddia kontrolü.
H2 — 8. Teknik Erişilebilirliği Sağlayın
İndekslenme, snippet eligibility, render ve crawler erişimi.
H2 — 9. İç Bağlantı ve Konu Kümesi Kurun
Pillar/cluster yapısı ve descriptive anchor.
H2 — 10. Prompt Bazlı Ölçün ve Güncelleyin
Baseline, değişiklik günlüğü ve yeniden tarama.
H2 — Rank Prompt Bu Süreçte Nerede Kullanılır?
Sadece ölçüm, boşluk analizi ve trend izleme bağlamında yumuşak ürün tie-in.
H2 — Sonuç
İçeriği AI için değil kullanıcı için değerli hale getirmenin temel olduğunu özetleyin.
    SONUÇ
    - 100–150 kelime.
    - Yalnızca ana bulguları özetle; yeni bilgi veya yeni iddia ekleme.
    - CTA’yı tek paragrafta, doğal ve baskısız biçimde kullan.
    SSS
    3–7 soru kullan; aşağıdaki sorular long-tail hedefleridir ve mevcut H2’leri tekrar etmemelidir:
    - ChatGPT’ye uygun içerik formatı nedir?
- FAQ bölümü AI görünürlüğünü artırır mı?
- llms.txt AI arama için gerekli mi?
- AI içerik optimizasyonunda kaç kelime yeterli?
- AI ile üretilen içerik Google’da sıralanır mı?
    Her cevap 1–3 cümle olsun; soruyu cevabın içinde doğal biçimde tekrar et.
    İÇ LİNKLER
    - /aeo-geo-seo-farki/ — “GEO ve SEO farkı”
- /llm-gorunurluk-takibi/ — “prompt bazlı görünürlük takibi”
    Gelecek URL henüz yayımlanmadıysa linki kırık bırakma; içerik yayımlandıktan sonra eklenmek üzere editör notu koy.
    GÖRSEL ÖNERİLERİ
    - ai-arama-icerik-optimizasyonu-kapak.webp | Alt: AI arama için içerik optimizasyonu sürecini gösteren kapak
- ai-icerik-once-sonra.webp | Alt: AI görünürlük için içerik önce ve sonra karşılaştırması
- people-first-content-checklist.webp | Alt: People-first ve özgün içerik kontrol listesi
- prompt-bazli-olcum.webp | Alt: İçerik değişikliği sonrası prompt bazlı ölçüm grafiği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https://developers.google.com/search/docs/fundamentals/using-gen-ai-content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1"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2" ht="170" customHeight="1">
      <x:c r="A12" s="71" t="str">
        <x:v>Yapay Zeka Yanıtlarında Kaynak Gösterilmek İçin 10 Taktik</x:v>
      </x:c>
      <x:c r="B12" s="71" t="str">
        <x:v>yapay zeka yanıtlarında kaynak gösterilmek</x:v>
      </x:c>
      <x:c r="C12" s="71" t="str">
        <x:v>Bilgilendirici</x:v>
      </x:c>
      <x:c r="D12" s="71" t="str">
        <x:v>AI Yanıtlarında Kaynak Gösterilme Taktikleri</x:v>
      </x:c>
      <x:c r="E12" s="71" t="str">
        <x:v>Yapay zeka yanıtlarında kaynak gösterilmek için hangi içerik ve otorite sinyalleri gerekir? 10 etik taktiği uygulayın, AI citation takibine bugün başlayın.</x:v>
      </x:c>
      <x:c r="F12" s="75" t="str">
        <x:v>TEMPLATE: HubSpot List Post
    HEDEF UZUNLUK: 1.500–2.000 kelime; 2.500 kelimeyi geçme.
    OKUYUCU: PR, içerik, SEO ve marka iletişimi ekipleri
    FUNNEL AŞAMASI: Farkındalık
    ARAMA NİYETİ: Bilgilendirici
    TON: Profesyonel, anlaşılır, kanıta dayalı ve tarafsız. Reklam dili, abartı, “garantili görünürlük” ve doğrulanmamış üstünlük iddiaları kullanma.
    ANAHTAR KELİMELER
    - Birincil: yapay zeka yanıtlarında kaynak gösterilmek
    - İlgili/uzun kuyruklu: AI citation nasıl alınır, ChatGPT kaynak gösterme, Perplexity citation, AI kaynak görünürlüğü, LLM citation tracking, AI referansları, GEO citation strategy, otoriter kaynak oluşturma, özgün veri içeriği, AI citation outreach, ChatGPT link görünürlüğü, AI search citations
    - Birincil anahtar kelimeyi ilk 100 kelime içinde doğal biçimde kullan.
    - Anahtar kelimeyi en az 3 başlıkta doğal ve dilbilgisel olarak kullan; keyword stuffing yapma.
    AÇILIŞ
    - H1: Yapay Zeka Yanıtlarında Kaynak Gösterilmek İçin 10 Taktik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yazı backlink tavsiyesi veriyor ama AI yanıtında mention ile citation’ı ayırmıyor. Yazı erişilebilir, kanıtlanabilir ve etik citation kazanma sürecini göstermeli.
    ZORUNLU ÖZGÜN KANIT / PROPRIETARY INFORMATION
    Bir sektörde 100 citation URL’sini örnekleyip kaynak türü, içerik formatı, güncellik, özgün veri ve domain türüne göre kodlayın; en sık görülen desenleri tabloya ekleyin.
    Bu çalışma yapılmadan yazıyı yayıma hazır sayma. Test tarihi, prompt sayısı, platformlar, dil/ülke ve yöntem açıkça belirtilsin. Veri üretilemezse sonuç uydurma; “test henüz yapılmadı” notu bırak.
    İÇERİK PLANI
    H2 — AI Citation Nedir?
AI yanıtındaki kaynak linki ile marka mention’ını ayırın; citation’ın platforma göre farklı görünebileceğini açıklayın.
H2 — 1. Özgün Veri ve Araştırma Yayınlayın
Metodoloji, örneklem, tarih ve ham bulgu şeffaflığı.
H2 — 2. Doğrudan Alıntılanabilir Tanımlar Yazın
Net fakat bağlamı koruyan tanım blokları.
H2 — 3. Güncel ve Kaynaklı Karşılaştırmalar Oluşturun
Fiyat/özellik tarih damgası ve resmi kaynak kontrolü.
H2 — 4. Uzman Görüşü ve Birinci El Deneyim Ekleyin
İsim, rol, süreç ve sonuç.
H2 — 5. Entity Bilgilerini Tutarlı Tutun
Organization, yazar, ürün ve iletişim bilgileri.
H2 — 6. İçeriği Teknik Olarak Erişilebilir Yapın
Crawler, noindex, render ve snippet kontrolleri.
H2 — 7. Konu Kümeleriyle Derinlik Oluşturun
Pillar + cluster + iç link.
H2 — 8. Üçüncü Taraf Yayınlarda Gerçek Değer Üretin
PR, konuk uzmanlık, veri ortaklığı; sahte mention’dan kaçının.
H2 — 9. Ulaşılabilir Citation Kaynaklarını Önceliklendirin
Rakip kaynaklarını etki, uygunluk ve erişilebilirliğe göre puanlayın.
H2 — 10. Citation’ları Prompt Bazında İzleyin
Hangi URL’nin hangi promptta kaynak olduğunu ve zamanla değişimi kaydedin.
H2 — Kaçınılması Gereken Taktikler
Sahte dizinler, ücretli spam mention, kaynak çarpıtma, kopya araştırma ve garanti söylemi.
H2 — Sonuç
Citation kazanmanın içerik, teknik ve dijital PR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ChatGPT kaynak olarak hangi siteleri kullanır?
- AI citation ile backlink aynı şey mi?
- Perplexity’de kaynak linki nasıl alınır?
- AI yanıtlarında kendi sitem neden kaynak olmuyor?
- Citation sayısı AI görünürlüğünü garanti eder mi?
    Her cevap 1–3 cümle olsun; soruyu cevabın içinde doğal biçimde tekrar et.
    İÇ LİNKLER
    - /ai-arama-rakip-analizi/ — “rakip citation boşluğu”
- /ai-arama-icerik-optimizasyonu/ — “özgün içerik optimizasyonu”
    Gelecek URL henüz yayımlanmadıysa linki kırık bırakma; içerik yayımlandıktan sonra eklenmek üzere editör notu koy.
    GÖRSEL ÖNERİLERİ
    - ai-citation-taktikleri-kapak.webp | Alt: AI yanıtlarında kaynak gösterilen web sayfalarını anlatan kapak
- ai-citation-turleri.webp | Alt: Mention ve citation farkını gösteren diyagram
- 100-citation-analizi.webp | Alt: 100 AI citation URL analiz tablosu
- etik-citation-yol-haritasi.webp | Alt: Etik AI citation kazanma yol haritası
    Kapak + en az 3 ek görsel kullan. Ekran görüntülerinde tarih ve veri kaynağı belirt; kişisel/müşteri verilerini maskele.
    KAYNAKLAR
    Öncelikle resmi ve birincil kaynakları kullan:
    - https://rankprompt.com/
- https://developers.google.com/search/docs/fundamentals/ai-optimization-guide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2"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3" ht="170" customHeight="1">
      <x:c r="A13" s="71" t="str">
        <x:v>AI Arama İçin Schema Markup Rehberi: Ne İşe Yarar, Ne Yapmaz?</x:v>
      </x:c>
      <x:c r="B13" s="71" t="str">
        <x:v>AI arama schema markup</x:v>
      </x:c>
      <x:c r="C13" s="71" t="str">
        <x:v>Bilgilendirici / teknik</x:v>
      </x:c>
      <x:c r="D13" s="71" t="str">
        <x:v>AI Arama İçin Schema Markup Rehberi</x:v>
      </x:c>
      <x:c r="E13" s="71" t="str">
        <x:v>AI arama için schema markup nasıl kullanılır, Article ve Organization şeması ne sağlar? Doğru JSON-LD uygulamasını öğrenin, yaygın teknik mitlerden kaçının.</x:v>
      </x:c>
      <x:c r="F13" s="75" t="str">
        <x:v>TEMPLATE: Contact Studios How-To — ürün tie-in
    HEDEF UZUNLUK: 1.500–2.000 kelime; 2.500 kelimeyi geçme.
    OKUYUCU: Teknik SEO uzmanları, geliştiriciler, içerik operasyon ekipleri
    FUNNEL AŞAMASI: Farkındalık
    ARAMA NİYETİ: Bilgilendirici / teknik
    TON: Profesyonel, anlaşılır, kanıta dayalı ve tarafsız. Reklam dili, abartı, “garantili görünürlük” ve doğrulanmamış üstünlük iddiaları kullanma.
    ANAHTAR KELİMELER
    - Birincil: AI arama schema markup
    - İlgili/uzun kuyruklu: GEO schema markup, AEO schema, AI için structured data, Article schema, Organization schema, Product schema, LocalBusiness schema, JSON-LD SEO, schema AI görünürlük, ChatGPT schema markup, structured data rehberi, AI search technical SEO
    - Birincil anahtar kelimeyi ilk 100 kelime içinde doğal biçimde kullan.
    - Anahtar kelimeyi en az 3 başlıkta doğal ve dilbilgisel olarak kullan; keyword stuffing yapma.
    AÇILIŞ
    - H1: AI Arama İçin Schema Markup Rehberi: Ne İşe Yarar, Ne Yapmaz?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schema’yı AI görünürlük garantisi gibi sunabiliyor. Yazı Google’ın resmi açıklamasına dayanarak schema’nın anlamlandırma/rich result katkısını ve sınırını netleştirmeli.
    ZORUNLU ÖZGÜN KANIT / PROPRIETARY INFORMATION
    Ortak Alan’daki bir makalenin mevcut structured data çıktısını Rich Results Test ile denetleyin; hataları, önerilen alanları ve düzeltme sonrası sonucu ekran görüntüsüyle yayınlayın.
    Bu çalışma yapılmadan yazıyı yayıma hazır sayma. Test tarihi, prompt sayısı, platformlar, dil/ülke ve yöntem açıkça belirtilsin. Veri üretilemezse sonuç uydurma; “test henüz yapılmadı” notu bırak.
    İÇERİK PLANI
    H2 — Schema Markup AI Görünürlüğünü Garanti Eder mi?
Hayır. Structured data’nın sayfa anlamını açıklamaya ve uygun rich result deneyimlerine yardımcı olduğunu, görünürlük garantisi vermediğini ilk cümlede söyleyin.
H2 — AI Arama İçin En İlgili Schema Türleri
H3: Organization; H3: Article; H3: Product/Offer; H3: LocalBusiness; H3: Breadcrumb; kullanım koşulları.
H2 — 1. Sayfa Türünü Doğru Eşleştirin
Her URL’ye uygun schema seçimi.
H2 — 2. JSON-LD ile Temel Alanları Ekleyin
Gerçek veriye dayalı örnek; uydurma review veya author kullanmayın.
H2 — 3. Yazar ve Kurum Entity’sini Bağlayın
author, publisher, sameAs, logo, url.
H2 — 4. Ürün ve Yerel İşletme Verilerini Güncel Tutun
Fiyat, stok, konum, çalışma saatleri ve resmi feed/profil.
H2 — 5. Rich Results Test ve URL Inspection ile Doğrulayın
Hata, uyarı ve indekslenme kontrolü.
H2 — 6. Schema ile Sayfa İçeriğini Tutarlı Tutun
Görünmeyen veya yanlış bilgiyi işaretlemeyin.
H2 — 7. Etkiyi Doğru Ölçün
Rich result, indekslenme, organik trafik ve AI visibility trendini ayrı izleyin.
H2 — AI Arama Schema Mitleri
Özel AI schema, schema ekleyince ChatGPT önerir, FAQ schema her yerde görünür, llms.txt schema yerine geçer gibi mitler.
H2 — Örnek JSON-LD Şablonları
Article + Organization için kısa, doğrulanabilir örnekler; yayın öncesi geliştirici kontrolü şartı.
H2 — Sonuç
Schema’yı sağlam teknik SEO’nun parçası olarak konumlandırın.
    SONUÇ
    - 100–150 kelime.
    - Yalnızca ana bulguları özetle; yeni bilgi veya yeni iddia ekleme.
    - CTA’yı tek paragrafta, doğal ve baskısız biçimde kullan.
    SSS
    3–7 soru kullan; aşağıdaki sorular long-tail hedefleridir ve mevcut H2’leri tekrar etmemelidir:
    - ChatGPT schema markup okur mu?
- GEO için özel schema türü var mı?
- Article schema AI görünürlüğünü artırır mı?
- FAQ schema kullanmak gerekli mi?
- Schema hataları sıralamayı düşürür mü?
    Her cevap 1–3 cümle olsun; soruyu cevabın içinde doğal biçimde tekrar et.
    İÇ LİNKLER
    - /ai-arama-icerik-optimizasyonu/ — “AI arama için içerik optimizasyonu”
- https://ortakalan.io/dextergpt-nedir/ — “teknik SEO otomasyonu”
    Gelecek URL henüz yayımlanmadıysa linki kırık bırakma; içerik yayımlandıktan sonra eklenmek üzere editör notu koy.
    GÖRSEL ÖNERİLERİ
    - ai-arama-schema-markup-kapak.webp | Alt: AI arama ve JSON-LD structured data kapak görseli
- schema-turleri-tablosu.webp | Alt: Organization Article Product ve LocalBusiness schema tablosu
- rich-results-test-ornegi.webp | Alt: Rich Results Test structured data doğrulama ekranı
- schema-mitleri.webp | Alt: AI arama için schema markup mitleri ve gerçekler
    Kapak + en az 3 ek görsel kullan. Ekran görüntülerinde tarih ve veri kaynağı belirt; kişisel/müşteri verilerini maskele.
    KAYNAKLAR
    Öncelikle resmi ve birincil kaynakları kullan:
    - https://developers.google.com/search/docs/appearance/structured-data/intro-structured-data
- https://developers.google.com/search/docs/appearance/structured-data/sd-policies
- https://developers.google.com/search/docs/appearance/structured-data/article
- https://developers.google.com/search/docs/appearance/structured-data/organization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3"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4" ht="170" customHeight="1">
      <x:c r="A14" s="71" t="str">
        <x:v>OAI-SearchBot, GPTBot ve PerplexityBot İçin robots.txt Rehberi</x:v>
      </x:c>
      <x:c r="B14" s="71" t="str">
        <x:v>OAI-SearchBot robots.txt</x:v>
      </x:c>
      <x:c r="C14" s="71" t="str">
        <x:v>Bilgilendirici / teknik</x:v>
      </x:c>
      <x:c r="D14" s="71" t="str">
        <x:v>OAI-SearchBot ve GPTBot Robots.txt Rehberi</x:v>
      </x:c>
      <x:c r="E14" s="71" t="str">
        <x:v>OAI-SearchBot robots.txt ayarı nasıl yapılır, GPTBot ile PerplexityBot farkı nedir? Örnek kuralları uygulayın, arama görünürlüğü ve eğitim tercihini ayırın.</x:v>
      </x:c>
      <x:c r="F14" s="75" t="str">
        <x:v>TEMPLATE: Contact Studios How-To — ürün tie-in
    HEDEF UZUNLUK: 1.500–2.000 kelime; 2.500 kelimeyi geçme.
    OKUYUCU: Teknik SEO uzmanları, web geliştiricileri, site sahipleri
    FUNNEL AŞAMASI: Farkındalık
    ARAMA NİYETİ: Bilgilendirici / teknik
    TON: Profesyonel, anlaşılır, kanıta dayalı ve tarafsız. Reklam dili, abartı, “garantili görünürlük” ve doğrulanmamış üstünlük iddiaları kullanma.
    ANAHTAR KELİMELER
    - Birincil: OAI-SearchBot robots.txt
    - İlgili/uzun kuyruklu: GPTBot robots.txt, PerplexityBot robots.txt, AI crawler robots.txt, ChatGPT search crawler, OAI SearchBot allow, AI bot engelleme, GPTBot ve OAI-SearchBot farkı, Perplexity crawler, robots.txt AI görünürlük, ChatGPT site erişimi, AI crawler audit, noindex ChatGPT
    - Birincil anahtar kelimeyi ilk 100 kelime içinde doğal biçimde kullan.
    - Anahtar kelimeyi en az 3 başlıkta doğal ve dilbilgisel olarak kullan; keyword stuffing yapma.
    AÇILIŞ
    - H1: OAI-SearchBot, GPTBot ve PerplexityBot İçin robots.txt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rehber eğitim botu ile arama botunu karıştırıyor. Yazı OAI-SearchBot, GPTBot ve PerplexityBot amaçlarını resmi kaynaklarla ayırmalı ve gizlilik/görünürlük karar matrisi vermeli.
    ZORUNLU ÖZGÜN KANIT / PROPRIETARY INFORMATION
    Ortak Alan’ın robots.txt dosyasını yayın tarihinde canlı kontrol edin; user-agent kurallarını tabloya dökün, olası çakışmaları ve düzeltme önerilerini gerçek çıktı olarak ekleyin.
    Bu çalışma yapılmadan yazıyı yayıma hazır sayma. Test tarihi, prompt sayısı, platformlar, dil/ülke ve yöntem açıkça belirtilsin. Veri üretilemezse sonuç uydurma; “test henüz yapılmadı” notu bırak.
    İÇERİK PLANI
    H2 — OAI-SearchBot, GPTBot ve PerplexityBot Aynı Şey Değildir
Arama sonuçlarında görünürlük, model eğitimi ve Perplexity search crawling amaçlarını ilk bölümde ayırın.
H2 — Botların Görevleri Karşılaştırma Tablosu
User-agent, amaç, engellemenin etkisi, resmi doküman ve önerilen karar sütunları.
H2 — robots.txt Dosyası Nasıl Kontrol Edilir?
URL, mevcut kurallar, wildcard, crawl erişimi ve test adımları.
H2 — OAI-SearchBot’a İzin Verme Örneği
Resmi dokümana dayalı örnek kural; site özelinde hukuk/gizlilik kontrolü.
H2 — GPTBot’u Ayrı Yönetme Örneği
Arama görünürlüğü ile olası eğitim tercihini ayırın.
H2 — PerplexityBot’a İzin Verme veya Engelleme
Resmi user-agent ve yayınlanmış IP doğrulama notu.
H2 — noindex, robots.txt ve Meta Robots Farkı
Botun noindex’i okuyabilmesi için crawl erişiminin gerekebileceğini açıklayın.
H2 — Yaygın Yapılandırma Hataları
Tüm botları wildcard ile istemeden engelleme, çelişkili kurallar, CDN/WAF blokları, yanlış user-agent, staging kurallarını production’a taşıma.
H2 — AI Crawler Audit Kontrol Listesi
robots, HTTP status, render, canonical, noindex, firewall, log kayıtları.
H2 — Sonuç
Teknik tercihin görünürlük, eğitim ve gizlilik hedefleriyle uyumlu olması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OAI-SearchBot engellenirse ChatGPT’de görünür müyüm?
- GPTBot’u engellemek ChatGPT Search’ü etkiler mi?
- PerplexityBot hangi amaçla tarama yapar?
- robots.txt ile AI eğitimi tamamen engellenir mi?
- noindex ve robots.txt arasındaki fark nedir?
    Her cevap 1–3 cümle olsun; soruyu cevabın içinde doğal biçimde tekrar et.
    İÇ LİNKLER
    - /chatgpt-markami-neden-onermiyor/ — “ChatGPT görünmezliği nedenleri”
- /ai-arama-schema-markup/ — “AI arama teknik SEO”
    Gelecek URL henüz yayımlanmadıysa linki kırık bırakma; içerik yayımlandıktan sonra eklenmek üzere editör notu koy.
    GÖRSEL ÖNERİLERİ
    - ai-crawler-robots-txt-kapak.webp | Alt: OAI-SearchBot GPTBot ve PerplexityBot robots.txt kapak görseli
- ai-bot-karsilastirma.webp | Alt: AI crawler user-agent karşılaştırma tablosu
- robots-txt-ornekleri.webp | Alt: OAI-SearchBot ve GPTBot için robots.txt örnekleri
- ai-crawler-audit.webp | Alt: AI crawler erişim denetimi kontrol listesi
    Kapak + en az 3 ek görsel kullan. Ekran görüntülerinde tarih ve veri kaynağı belirt; kişisel/müşteri verilerini maskele.
    KAYNAKLAR
    Öncelikle resmi ve birincil kaynakları kullan:
    - https://help.openai.com/en/articles/12627856-publishers-and-developers-faq
- https://docs.perplexity.ai/docs/resources/perplexity-crawlers
- https://developers.google.com/search/docs/crawling-indexing/robots-meta-tag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4"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5" ht="170" customHeight="1">
      <x:c r="A15" s="71" t="str">
        <x:v>ChatGPT’den Gelen Trafik GA4’te Nasıl Ölçülür? Adım Adım</x:v>
      </x:c>
      <x:c r="B15" s="71" t="str">
        <x:v>ChatGPT trafiği GA4</x:v>
      </x:c>
      <x:c r="C15" s="71" t="str">
        <x:v>Bilgilendirici / teknik</x:v>
      </x:c>
      <x:c r="D15" s="71" t="str">
        <x:v>ChatGPT Trafiği GA4’te Nasıl Ölçülür?</x:v>
      </x:c>
      <x:c r="E15" s="71" t="str">
        <x:v>ChatGPT trafiği GA4’te nasıl bulunur, utm_source=chatgpt.com ve referral verisi nasıl analiz edilir? Raporu kurun, landing page ve dönüşümleri izleyin.</x:v>
      </x:c>
      <x:c r="F15" s="75" t="str">
        <x:v>TEMPLATE: Contact Studios How-To — ürün tie-in
    HEDEF UZUNLUK: 1.500–2.000 kelime; 2.500 kelimeyi geçme.
    OKUYUCU: Growth analistleri, içerik yöneticileri, SEO ve BI ekipleri
    FUNNEL AŞAMASI: Değerlendirme
    ARAMA NİYETİ: Bilgilendirici / teknik
    TON: Profesyonel, anlaşılır, kanıta dayalı ve tarafsız. Reklam dili, abartı, “garantili görünürlük” ve doğrulanmamış üstünlük iddiaları kullanma.
    ANAHTAR KELİMELER
    - Birincil: ChatGPT trafiği GA4
    - İlgili/uzun kuyruklu: ChatGPT referral traffic, chatgpt.com GA4, utm_source chatgpt.com, AI referral traffic, ChatGPT trafik ölçümü, GA4 session source medium, AI traffic analytics, ChatGPT landing page, Perplexity referral GA4, AI dönüşüm takibi, GA4 custom channel group, LLM trafik raporu
    - Birincil anahtar kelimeyi ilk 100 kelime içinde doğal biçimde kullan.
    - Anahtar kelimeyi en az 3 başlıkta doğal ve dilbilgisel olarak kullan; keyword stuffing yapma.
    AÇILIŞ
    - H1: ChatGPT’den Gelen Trafik GA4’te Nasıl Ölçülür? Adım Adım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rehber yalnızca referral filtresi gösteriyor. Yazı OpenAI’nin otomatik utm_source bilgisini, session source/medium, landing page ve dönüşüm analizini tek akışta anlatmalı.
    ZORUNLU ÖZGÜN KANIT / PROPRIETARY INFORMATION
    Ortak Alan GA4 verisinde son 90 günü inceleyin; chatgpt.com kaynaklı oturum, landing page, engagement ve dönüşüm verilerini anonimleştirilmiş ekran görüntüsü ve tarih aralığıyla yayınlayın. Veri yoksa '0' bulgusunu da paylaşın.
    Bu çalışma yapılmadan yazıyı yayıma hazır sayma. Test tarihi, prompt sayısı, platformlar, dil/ülke ve yöntem açıkça belirtilsin. Veri üretilemezse sonuç uydurma; “test henüz yapılmadı” notu bırak.
    İÇERİK PLANI
    H2 — ChatGPT Trafiği GA4’te Görülebilir mi?
Evet; yönlendirme ve UTM bilgisi geldiğinde GA4 source/medium boyutlarında izlenebilir. Tüm AI etkisinin referral trafiğine dönüşmediğini belirtin.
H2 — OpenAI’nin utm_source=chatgpt.com Parametresi
Resmi bilgi ve ne anlama geldiği.
H2 — 1. Traffic Acquisition Raporunu Açın
Reports → Acquisition → Traffic acquisition.
H2 — 2. Session Source / Medium Boyutunu Kullanın
chatgpt.com ve olası referral varyasyonlarını filtreleyin.
H2 — 3. Landing Page + Query String Ekleyin
Hangi içeriklerin AI tıklaması aldığını bulun.
H2 — 4. Engagement ve Dönüşümleri Karşılaştırın
Engaged sessions, engagement rate, key events, revenue/lead.
H2 — 5. Özel Keşif veya Rapor Oluşturun
Kaynak, landing page, device, country ve conversion kırılımları.
H2 — 6. AI Trafiği İçin Custom Channel Group Düşünün
ChatGPT, Perplexity ve diğer AI referrer’ları bir araya getirme mantığı; kurulumun property yapısına göre değişebileceğini belirtin.
H2 — 7. Görünürlük Verisiyle Trafiği Eşleyin
Prompt/citation görünürlüğü ile GA4 landing page trendini korelasyon olarak değerlendirin; nedensellik iddia etmeyin.
H2 — Ölçüm Sınırlamaları
No-referrer/direct, uygulama içi tıklama, dark traffic, düşük hacim ve attribution.
H2 — Sonuç
GA4 trafiği ile AI visibility ölçümünün birbirini tamamladığını özetleyin.
    SONUÇ
    - 100–150 kelime.
    - Yalnızca ana bulguları özetle; yeni bilgi veya yeni iddia ekleme.
    - CTA’yı tek paragrafta, doğal ve baskısız biçimde kullan.
    SSS
    3–7 soru kullan; aşağıdaki sorular long-tail hedefleridir ve mevcut H2’leri tekrar etmemelidir:
    - ChatGPT trafiği GA4’te hangi kaynakta görünür?
- utm_source=chatgpt.com otomatik eklenir mi?
- AI trafiği neden direct olarak görünebilir?
- Perplexity trafiği GA4’te nasıl bulunur?
- ChatGPT trafiğinin dönüşümü nasıl ölçülür?
    Her cevap 1–3 cümle olsun; soruyu cevabın içinde doğal biçimde tekrar et.
    İÇ LİNKLER
    - /ai-gorunurluk-raporu/ — “AI görünürlük raporu”
- /chatgpt-marka-gorunurlugu-olcme/ — “ChatGPT görünürlük ölçümü”
    Gelecek URL henüz yayımlanmadıysa linki kırık bırakma; içerik yayımlandıktan sonra eklenmek üzere editör notu koy.
    GÖRSEL ÖNERİLERİ
    - chatgpt-trafigi-ga4-kapak.webp | Alt: GA4 üzerinde ChatGPT referral trafiğini gösteren kapak
- ga4-session-source-medium.webp | Alt: GA4 session source medium filtresi örneği
- chatgpt-landing-page-raporu.webp | Alt: ChatGPT kaynaklı landing page raporu
- ai-traffic-dashboard.webp | Alt: AI referral trafik ve dönüşüm dashboard örneği
    Kapak + en az 3 ek görsel kullan. Ekran görüntülerinde tarih ve veri kaynağı belirt; kişisel/müşteri verilerini maskele.
    KAYNAKLAR
    Öncelikle resmi ve birincil kaynakları kullan:
    - https://help.openai.com/en/articles/12627856-publishers-and-developers-faq
- https://support.google.com/analytics/answer/12923437
- https://support.google.com/analytics/answer/12931766
- https://support.google.com/analytics/answer/11242870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5"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6" ht="170" customHeight="1">
      <x:c r="A16" s="71" t="str">
        <x:v>Google AI Overviews ve AI Mode Görünürlüğü Nasıl İzlenir?</x:v>
      </x:c>
      <x:c r="B16" s="71" t="str">
        <x:v>Google AI Overviews görünürlük takibi</x:v>
      </x:c>
      <x:c r="C16" s="71" t="str">
        <x:v>Bilgilendirici / ticari araştırma</x:v>
      </x:c>
      <x:c r="D16" s="71" t="str">
        <x:v>Google AI Overviews Görünürlüğü Nasıl İzlenir?</x:v>
      </x:c>
      <x:c r="E16" s="71" t="str">
        <x:v>Google AI Overviews görünürlük takibi nasıl yapılır ve AI Mode performansı nasıl ölçülür? Search Console, kaynak linkleri ve prompt testlerini beraber kullanın.</x:v>
      </x:c>
      <x:c r="F16" s="75" t="str">
        <x:v>TEMPLATE: Contact Studios How-To — ürün tie-in
    HEDEF UZUNLUK: 1.500–2.000 kelime; 2.500 kelimeyi geçme.
    OKUYUCU: SEO ekipleri, yayıncılar, e-ticaret ve içerik yöneticileri
    FUNNEL AŞAMASI: Değerlendirme
    ARAMA NİYETİ: Bilgilendirici / ticari araştırma
    TON: Profesyonel, anlaşılır, kanıta dayalı ve tarafsız. Reklam dili, abartı, “garantili görünürlük” ve doğrulanmamış üstünlük iddiaları kullanma.
    ANAHTAR KELİMELER
    - Birincil: Google AI Overviews görünürlük takibi
    - İlgili/uzun kuyruklu: AI Overviews tracking, Google AI Mode görünürlüğü, AI Overview citation, Google generative search SEO, Search Console AI performance, AI Mode kaynak takibi, Google AI görünürlük, AI Overview ölçümü, query fan-out SEO, Google generative AI report, AI Overviews trafik, Google AI citation
    - Birincil anahtar kelimeyi ilk 100 kelime içinde doğal biçimde kullan.
    - Anahtar kelimeyi en az 3 başlıkta doğal ve dilbilgisel olarak kullan; keyword stuffing yapma.
    AÇILIŞ
    - H1: Google AI Overviews ve AI Mode Görünürlüğü Nasıl İzlenir?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Rehberler çoğu zaman özel 'GEO hack' öneriyor. Yazı Google’ın resmi olarak temel SEO uygulamalarını, people-first içeriği ve teknik uygunluğu vurguladığını açıkça anlatmalı.
    ZORUNLU ÖZGÜN KANIT / PROPRIETARY INFORMATION
    20 bilgi ve ticari sorguda AI Overview/AI Mode varlığı, Ortak Alan veya örnek sitenin citation olup olmadığı ve klasik organik pozisyonu aynı tabloda karşılaştırın.
    Bu çalışma yapılmadan yazıyı yayıma hazır sayma. Test tarihi, prompt sayısı, platformlar, dil/ülke ve yöntem açıkça belirtilsin. Veri üretilemezse sonuç uydurma; “test henüz yapılmadı” notu bırak.
    İÇERİK PLANI
    H2 — Google AI Overviews ve AI Mode Nedir?
İki deneyimi, doğrudan yanıt ve kaynak linkleri bağlamında kısa tanımlayın.
H2 — Google’ın Resmi Görüşü: Temel SEO Hâlâ Geçerli
Ek teknik gereksinim olmadığını, sayfanın indekslenebilir ve snippet için uygun olması gerektiğini aktarın.
H2 — Query Fan-Out Ne Anlama Gelir?
Bir sorgunun alt sorulara ayrılması ve farklı kaynakların keşfedilebilmesi.
H2 — 1. Hedef Sorgu Seti Oluşturun
Bilgi, karşılaştırma, ürün ve yerel niyet.
H2 — 2. AI Overview/Mode Varlığını ve Kaynakları Kaydedin
Tarih, ülke, dil, cihaz ve sorgu.
H2 — 3. Search Console Verisini İzleyin
Mevcut generative AI performans raporu/raporlama özelliklerini resmi dokümana göre güncel kontrol edin; klasik query/page verisiyle birlikte değerlendirin.
H2 — 4. Citation ve Landing Page’leri Eşleyin
Hangi sayfanın hangi alt soruda kaynak olduğuna bakın.
H2 — 5. Teknik ve İçerik Uygunluğunu Denetleyin
İndeks, snippet, people-first içerik, özgün değer, görsel/video ve site deneyimi.
H2 — 6. Değişiklikleri Yeniden Test Edin
Aynı sorgular, tarih kaydı ve trend.
H2 — Kaçınılması Gereken Mitler
llms.txt zorunlu, özel AI schema, içerik chunking şart, yapay mention satın alma ve garanti söylemleri.
H2 — Sonuç
Google generative search görünürlüğünün temel SEO + özgün içerik + ölçüm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AI Overviews için ayrı SEO gerekir mi?
- Google AI Mode trafiği Search Console’da görünür mü?
- AI Overview kaynakları nasıl seçilir?
- llms.txt Google AI Overviews için gerekli mi?
- AI Overviews görünürlüğü nasıl ölçülür?
    Her cevap 1–3 cümle olsun; soruyu cevabın içinde doğal biçimde tekrar et.
    İÇ LİNKLER
    - /aeo-geo-seo-farki/ — “GEO ve SEO farkı”
- /ai-arama-icerik-optimizasyonu/ — “AI arama içerik optimizasyonu”
    Gelecek URL henüz yayımlanmadıysa linki kırık bırakma; içerik yayımlandıktan sonra eklenmek üzere editör notu koy.
    GÖRSEL ÖNERİLERİ
    - google-ai-overviews-kapak.webp | Alt: Google AI Overviews ve AI Mode görünürlük takibi kapak görseli
- query-fan-out.webp | Alt: Google query fan-out sürecini anlatan diyagram
- ai-overview-kaynak-tablosu.webp | Alt: AI Overview kaynak ve organik sıra karşılaştırma tablosu
- google-ai-mitleri.webp | Alt: Google generative AI arama mitleri ve gerçekler
    Kapak + en az 3 ek görsel kullan. Ekran görüntülerinde tarih ve veri kaynağı belirt; kişisel/müşteri verilerini maskele.
    KAYNAKLAR
    Öncelikle resmi ve birincil kaynakları kullan:
    - https://developers.google.com/search/docs/appearance/ai-features
- https://developers.google.com/search/docs/fundamentals/ai-optimization-guide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6"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7" ht="170" customHeight="1">
      <x:c r="A17" s="71" t="str">
        <x:v>SaaS Şirketleri İçin GEO Stratejisi: 90 Günlük Uygulama Planı</x:v>
      </x:c>
      <x:c r="B17" s="71" t="str">
        <x:v>SaaS GEO stratejisi</x:v>
      </x:c>
      <x:c r="C17" s="71" t="str">
        <x:v>Bilgilendirici / ticari araştırma</x:v>
      </x:c>
      <x:c r="D17" s="71" t="str">
        <x:v>SaaS Şirketleri İçin GEO Stratejisi</x:v>
      </x:c>
      <x:c r="E17" s="71" t="str">
        <x:v>SaaS GEO stratejisi nasıl kurulur ve ChatGPT’de SaaS görünürlüğü nasıl artırılır? 90 günlük planı uygulayın, ürün ve rakip promptlarını düzenli ölçün.</x:v>
      </x:c>
      <x:c r="F17" s="75" t="str">
        <x:v>TEMPLATE: Contact Studios How-To — ürün tie-in
    HEDEF UZUNLUK: 1.500–2.000 kelime; 2.500 kelimeyi geçme.
    OKUYUCU: B2B SaaS kurucuları, growth ve içerik ekipleri
    FUNNEL AŞAMASI: Değerlendirme
    ARAMA NİYETİ: Bilgilendirici / ticari araştırma
    TON: Profesyonel, anlaşılır, kanıta dayalı ve tarafsız. Reklam dili, abartı, “garantili görünürlük” ve doğrulanmamış üstünlük iddiaları kullanma.
    ANAHTAR KELİMELER
    - Birincil: SaaS GEO stratejisi
    - İlgili/uzun kuyruklu: SaaS AI görünürlük, B2B SaaS GEO, ChatGPT SaaS önerileri, SaaS AEO stratejisi, SaaS content strategy AI, SaaS citation building, SaaS competitor prompts, AI search for SaaS, SaaS brand visibility, GEO roadmap, LLM SaaS marketing, AI discovery SaaS
    - Birincil anahtar kelimeyi ilk 100 kelime içinde doğal biçimde kullan.
    - Anahtar kelimeyi en az 3 başlıkta doğal ve dilbilgisel olarak kullan; keyword stuffing yapma.
    AÇILIŞ
    - H1: SaaS Şirketleri İçin GEO Stratejisi: 90 Günlük Uygulama Planı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GEO rehberleri SaaS satın alma yolculuğunu, alternatif/comparison sorgularını, integration ve use-case sayfalarını yeterince işlemiyor.
    ZORUNLU ÖZGÜN KANIT / PROPRIETARY INFORMATION
    Bir SaaS için 50 promptu problem, kategori, alternatif, karşılaştırma ve satın alma niyetine göre sınıflandırın; 90 günlük planın başında ve sonunda görünürlük farkını yayınlayın.
    Bu çalışma yapılmadan yazıyı yayıma hazır sayma. Test tarihi, prompt sayısı, platformlar, dil/ülke ve yöntem açıkça belirtilsin. Veri üretilemezse sonuç uydurma; “test henüz yapılmadı” notu bırak.
    İÇERİK PLANI
    H2 — SaaS İçin GEO Neden Farklıdır?
Uzun değerlendirme süreci, kategori eğitimi, rakip karşılaştırması, entegrasyon ve güven kanıtı.
H2 — 90 Günlük SaaS GEO Planı
Üç fazı kısa tabloyla özetleyin.
H2 — Gün 1-30: Baseline ve Temel Varlıklar
H3: 50 prompt haritası; H3: rakip seti; H3: entity/brand audit; H3: ürün, use-case, integration ve pricing sayfaları; H3: crawler/index kontrolleri.
H2 — Gün 31-60: İçerik ve Kanıt Üretimi
H3: problem/solution içerikleri; H3: alternatif ve karşılaştırma sayfaları; H3: gerçek vaka/veri; H3: uzman görüşü; H3: third-party mention planı.
H2 — Gün 61-90: Citation, Dağıtım ve Yeniden Ölçüm
H3: kaynak gap; H3: dijital PR; H3: partner/marketplace profilleri; H3: prompt bazlı yeniden tarama; H3: rapor.
H2 — SaaS GEO İçin Öncelikli Sayfa Türleri
Ana sayfa, kategori, use-case, integration, comparison, alternatives, case study, docs ve pricing.
H2 — SaaS GEO KPI’ları
Weighted visibility, category prompt coverage, competitor share, citation quality, referral traffic, demo/lead.
H2 — Rank Prompt ile SaaS Görünürlüğü Nasıl İzlenir?
Platformu ölçüm ve gap analizi örneği olarak kısa, şeffaf bir bölümde kullanın.
H2 — Sonuç
90 günlük döngünün ölçüm, kanıt ve dağıtım üzerine kurulu olduğunu özetleyin.
    SONUÇ
    - 100–150 kelime.
    - Yalnızca ana bulguları özetle; yeni bilgi veya yeni iddia ekleme.
    - CTA’yı tek paragrafta, doğal ve baskısız biçimde kullan.
    SSS
    3–7 soru kullan; aşağıdaki sorular long-tail hedefleridir ve mevcut H2’leri tekrar etmemelidir:
    - SaaS GEO çalışmalarına hangi sayfadan başlanmalı?
- ChatGPT SaaS ürünlerini neye göre önerir?
- SaaS için kaç prompt izlenmeli?
- GEO demo taleplerini artırır mı?
- SaaS GEO ve product-led SEO birlikte yürütülür mü?
    Her cevap 1–3 cümle olsun; soruyu cevabın içinde doğal biçimde tekrar et.
    İÇ LİNKLER
    - https://ortakalan.io/saas-bridge-nedir/ — “SaaS ekosistemi”
- /ai-arama-rakip-analizi/ — “AI rakip analizi”
- /rank-prompt-nedir/ — “SaaS için AI görünürlük aracı”
    Gelecek URL henüz yayımlanmadıysa linki kırık bırakma; içerik yayımlandıktan sonra eklenmek üzere editör notu koy.
    GÖRSEL ÖNERİLERİ
    - saas-geo-stratejisi-kapak.webp | Alt: B2B SaaS için 90 günlük GEO stratejisi kapak görseli
- saas-prompt-haritasi.webp | Alt: SaaS satın alma yolculuğuna göre prompt haritası
- 90-gun-saas-geo.webp | Alt: 90 günlük SaaS GEO uygulama takvimi
- saas-geo-kpi.webp | Alt: SaaS GEO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https://rankprompt.com/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7"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8" ht="170" customHeight="1">
      <x:c r="A18" s="71" t="str">
        <x:v>E-Ticaret Siteleri İçin AI Görünürlük Rehberi: Ürünlerden Citation’a</x:v>
      </x:c>
      <x:c r="B18" s="71" t="str">
        <x:v>e-ticaret AI görünürlük</x:v>
      </x:c>
      <x:c r="C18" s="71" t="str">
        <x:v>Bilgilendirici / ticari araştırma</x:v>
      </x:c>
      <x:c r="D18" s="71" t="str">
        <x:v>E-Ticaret İçin AI Görünürlük Rehberi</x:v>
      </x:c>
      <x:c r="E18" s="71" t="str">
        <x:v>E-ticaret AI görünürlük stratejisi nasıl kurulur ve ChatGPT’de ürün görünürlüğü nasıl ölçülür? Ürün verisi, schema, içerik ve citation adımlarını uygulayın.</x:v>
      </x:c>
      <x:c r="F18" s="75" t="str">
        <x:v>TEMPLATE: Contact Studios How-To — ürün tie-in
    HEDEF UZUNLUK: 1.500–2.000 kelime; 2.500 kelimeyi geçme.
    OKUYUCU: E-ticaret yöneticileri, SEO ve ürün feed ekipleri
    FUNNEL AŞAMASI: Değerlendirme
    ARAMA NİYETİ: Bilgilendirici / ticari araştırma
    TON: Profesyonel, anlaşılır, kanıta dayalı ve tarafsız. Reklam dili, abartı, “garantili görünürlük” ve doğrulanmamış üstünlük iddiaları kullanma.
    ANAHTAR KELİMELER
    - Birincil: e-ticaret AI görünürlük
    - İlgili/uzun kuyruklu: ChatGPT ürün görünürlüğü, ecommerce GEO, AI shopping visibility, Product schema AI, Merchant Center AI, AI ürün önerileri, e-ticaret citation, AI search ecommerce, ürün feed optimizasyonu, AI marka görünürlüğü e-ticaret, generative shopping SEO, AI product discovery
    - Birincil anahtar kelimeyi ilk 100 kelime içinde doğal biçimde kullan.
    - Anahtar kelimeyi en az 3 başlıkta doğal ve dilbilgisel olarak kullan; keyword stuffing yapma.
    AÇILIŞ
    - H1: E-Ticaret Siteleri İçin AI Görünürlük Rehberi: Ürünlerden Citation’a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AI görünürlük yazıları ürün feed, Merchant Center, Product/Offer schema, stok/fiyat güncelliği ve kategori/rehber içeriklerinin birlikte çalışmasını işlemiyor.
    ZORUNLU ÖZGÜN KANIT / PROPRIETARY INFORMATION
    10 kategori ve 30 ürün keşif promptunda marka/ürün görünürlüğünü test edin; ürün verisi eksikliği, citation ve içerik türü ile sonuçları eşleştiren özgün tablo yayınlayın.
    Bu çalışma yapılmadan yazıyı yayıma hazır sayma. Test tarihi, prompt sayısı, platformlar, dil/ülke ve yöntem açıkça belirtilsin. Veri üretilemezse sonuç uydurma; “test henüz yapılmadı” notu bırak.
    İÇERİK PLANI
    H2 — E-Ticarette AI Görünürlük Ne Anlama Gelir?
Marka, kategori, ürün ve alışveriş tavsiyesi düzeylerini ayırın.
H2 — E-Ticaret İçin AI Görünürlük Katmanları
H3: Ürün verisi; H3: kategori ve rehber içerikleri; H3: review/third-party kanıt; H3: teknik erişilebilirlik; H3: ölçüm.
H2 — 1. Merchant Center ve Ürün Verisini Düzenleyin
Fiyat, stok, görsel, GTIN, kargo ve iade bilgilerinin güncelliği.
H2 — 2. Product ve Offer Structured Data Kullanın
Resmi Google yönergeleri ve içerikle tutarlılık.
H2 — 3. Kategori Sayfalarını Soru ve Karar Odaklı Geliştirin
Seçim kriteri, kullanım senaryosu ve karşılaştırma.
H2 — 4. Özgün Ürün Kanıtları Ekleyin
Test, ölçüm, fotoğraf, video, kullanım sonucu ve uzman görüşü.
H2 — 5. Review ve Marka Bilgilerini Tutarlı Tutun
Sahte review veya yanıltıcı aggregate rating’den kaçının.
H2 — 6. AI Crawler ve İndeks Erişimini Denetleyin
robots, noindex, JS render, canonical ve faceted navigation.
H2 — 7. Ürün ve Kategori Promptlarını Ölçün
Kategori, problem, karşılaştırma, bütçe ve yerel niyet.
H2 — 8. Citation ve Referral Trafiğini İzleyin
Kaynak URL, platform, landing page ve conversion.
H2 — E-Ticaret AI Görünürlük KPI’ları
Product mention rate, category coverage, citation, assisted conversion, feed health.
H2 — Sonuç
Ürün verisi + özgün içerik + güven + ölçüm kombinasyonunu özetleyin.
    SONUÇ
    - 100–150 kelime.
    - Yalnızca ana bulguları özetle; yeni bilgi veya yeni iddia ekleme.
    - CTA’yı tek paragrafta, doğal ve baskısız biçimde kullan.
    SSS
    3–7 soru kullan; aşağıdaki sorular long-tail hedefleridir ve mevcut H2’leri tekrar etmemelidir:
    - ChatGPT ürünleri neye göre önerir?
- Product schema AI görünürlüğünü artırır mı?
- Merchant Center AI Overviews için önemli mi?
- E-ticaret sitesi kaç ürün promptu izlemeli?
- AI trafiği e-ticaret dönüşümüne nasıl bağlanır?
    Her cevap 1–3 cümle olsun; soruyu cevabın içinde doğal biçimde tekrar et.
    İÇ LİNKLER
    - /ai-arama-schema-markup/ — “Product schema ve structured data”
- /chatgpt-trafigi-ga4/ — “AI referral trafiği ölçümü”
    Gelecek URL henüz yayımlanmadıysa linki kırık bırakma; içerik yayımlandıktan sonra eklenmek üzere editör notu koy.
    GÖRSEL ÖNERİLERİ
    - e-ticaret-ai-gorunurluk-kapak.webp | Alt: E-ticaret ürünlerinin AI yanıtlarında görünürlüğünü anlatan kapak
- urun-verisi-ai-gorunurluk.webp | Alt: Ürün feed schema içerik ve citation katmanları
- e-ticaret-prompt-matrisi.webp | Alt: Kategori ve ürün keşif prompt matrisi
- ai-shopping-kpi.webp | Alt: E-ticaret AI görünürlük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https://developers.google.com/search/docs/appearance/structured-data/product
- https://developers.google.com/search/docs/appearance/structured-data/merchant-listing
- https://developers.google.com/search/docs/specialty/ecommerce/share-your-product-data-with-google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8"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9" ht="170" customHeight="1">
      <x:c r="A19" s="71" t="str">
        <x:v>Yerel İşletmeler İçin ChatGPT Görünürlüğü: 12 Adımlı Rehber</x:v>
      </x:c>
      <x:c r="B19" s="71" t="str">
        <x:v>yerel işletme ChatGPT görünürlüğü</x:v>
      </x:c>
      <x:c r="C19" s="71" t="str">
        <x:v>Bilgilendirici / ticari araştırma</x:v>
      </x:c>
      <x:c r="D19" s="71" t="str">
        <x:v>Yerel İşletmeler İçin ChatGPT Görünürlüğü</x:v>
      </x:c>
      <x:c r="E19" s="71" t="str">
        <x:v>Yerel işletme ChatGPT görünürlüğü nasıl artırılır ve AI yerel arama sonuçları nasıl ölçülür? 12 adımı uygulayın, konum bazlı promptları düzenli test edin.</x:v>
      </x:c>
      <x:c r="F19" s="75" t="str">
        <x:v>TEMPLATE: Contact Studios How-To — ürün tie-in
    HEDEF UZUNLUK: 1.500–2.000 kelime; 2.500 kelimeyi geçme.
    OKUYUCU: Yerel işletme sahipleri, çok lokasyonlu markalar, yerel SEO ajansları
    FUNNEL AŞAMASI: Değerlendirme
    ARAMA NİYETİ: Bilgilendirici / ticari araştırma
    TON: Profesyonel, anlaşılır, kanıta dayalı ve tarafsız. Reklam dili, abartı, “garantili görünürlük” ve doğrulanmamış üstünlük iddiaları kullanma.
    ANAHTAR KELİMELER
    - Birincil: yerel işletme ChatGPT görünürlüğü
    - İlgili/uzun kuyruklu: yerel AI görünürlük, ChatGPT yerel işletme önerileri, AI local SEO, GEO local business, Google Business Profile AI, LocalBusiness schema, konum bazlı AI arama, ChatGPT restoran önerisi, AI yerel citation, yerel marka mention, AI local prompts, çok lokasyonlu GEO
    - Birincil anahtar kelimeyi ilk 100 kelime içinde doğal biçimde kullan.
    - Anahtar kelimeyi en az 3 başlıkta doğal ve dilbilgisel olarak kullan; keyword stuffing yapma.
    AÇILIŞ
    - H1: Yerel İşletmeler İçin ChatGPT Görünürlüğü: 12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Yerel SEO rehberleri Google Maps’e odaklanıyor; AI rehberleri ise lokasyon hassasiyeti, Business Profile, yerel citation ve semt bazlı promptları yeterince işlemiyor.
    ZORUNLU ÖZGÜN KANIT / PROPRIETARY INFORMATION
    Bir şehir ve kategori için 25 konum bazlı promptu farklı semt/niyet kombinasyonlarında test edin; Google Business Profile tutarlılığı ve üçüncü taraf kaynaklarla görünürlük ilişkisini tabloya ekleyin.
    Bu çalışma yapılmadan yazıyı yayıma hazır sayma. Test tarihi, prompt sayısı, platformlar, dil/ülke ve yöntem açıkça belirtilsin. Veri üretilemezse sonuç uydurma; “test henüz yapılmadı” notu bırak.
    İÇERİK PLANI
    H2 — Yerel İşletmelerde ChatGPT Görünürlüğü Nedir?
Belirli bir şehir, semt veya 'yakınımdaki' bağlamında markanın önerilme ve doğru bilgiyle sunulma olasılığı olarak tanımlayın.
H2 — Yerel AI Görünürlüğünü Etkileyen Temel Varlıklar
Google Business Profile, site, LocalBusiness schema, yerel dizinler, medya, review ve tutarlı NAP.
H2 — 1. Kategori ve Hizmet Tanımını Netleştirin
Ana kategori, alt hizmet ve hedef bölge.
H2 — 2. Google Business Profile Bilgilerini Güncelleyin
Adres, telefon, saat, kategori, fotoğraf ve hizmetler.
H2 — 3. Site Üzerinde Konum Sayfaları Oluşturun
Kopya şehir sayfalarından kaçının; özgün hizmet, ekip, vaka ve yerel bilgi.
H2 — 4. LocalBusiness Schema Kullanın
İçerikle tutarlı alanlar.
H2 — 5. Yerel Otorite ve Citation Kazanın
Yerel medya, oda, birlik, etkinlik, uzman kaynak.
H2 — 6. Review Stratejisini Etik Yürütün
Gerçek müşteri geri bildirimi, yanıt ve tutarlılık.
H2 — 7. Konum Bazlı Prompt Seti Kurun
Şehir, semt, ihtiyaç, bütçe, açık saat ve karşılaştırma örnekleri.
H2 — 8. Bilgi Doğruluğunu Ölçün
Adres, saat, hizmet ve marka tanımı.
H2 — 9. Rakip ve Kaynak Boşluğunu Analiz Edin
Hangi yerel kaynaklar tekrar ediliyor?
H2 — 10. Çok Lokasyonlu Yapıyı Ayrı İzleyin
Lokasyon bazlı dashboard ve içerik sahipliği.
H2 — 11. Değişiklikleri Yeniden Test Edin
Aynı prompt, tarih ve lokasyon.
H2 — 12. GA4 ve Lead Verisini Eşleyin
Referral, landing page, arama/rezervasyon/lead.
H2 — Sonuç
Yerel görünürlüğün doğruluk + otorite + konum ölçümü olduğunu özetleyin.
    SONUÇ
    - 100–150 kelime.
    - Yalnızca ana bulguları özetle; yeni bilgi veya yeni iddia ekleme.
    - CTA’yı tek paragrafta, doğal ve baskısız biçimde kullan.
    SSS
    3–7 soru kullan; aşağıdaki sorular long-tail hedefleridir ve mevcut H2’leri tekrar etmemelidir:
    - ChatGPT yakınımdaki işletmeleri nasıl önerir?
- Google Business Profile ChatGPT görünürlüğünü etkiler mi?
- LocalBusiness schema yerel AI aramada işe yarar mı?
- Yerel işletme kaç konum promptu izlemeli?
- Yanlış çalışma saatleri AI yanıtında nasıl düzeltilir?
    Her cevap 1–3 cümle olsun; soruyu cevabın içinde doğal biçimde tekrar et.
    İÇ LİNKLER
    - /oai-searchbot-gptbot-robots-txt/ — “AI crawler erişimi”
- /ai-arama-schema-markup/ — “LocalBusiness schema”
    Gelecek URL henüz yayımlanmadıysa linki kırık bırakma; içerik yayımlandıktan sonra eklenmek üzere editör notu koy.
    GÖRSEL ÖNERİLERİ
    - yerel-isletme-chatgpt-kapak.webp | Alt: Şehir haritası üzerinde ChatGPT yerel işletme önerileri kapak görseli
- yerel-ai-varliklari.webp | Alt: Business Profile site schema review ve citation diyagramı
- konum-prompt-matrisi.webp | Alt: Şehir semt ve niyet bazlı yerel AI prompt matrisi
- yerel-ai-dashboard.webp | Alt: Lokasyon bazlı AI görünürlük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https://developers.google.com/search/docs/appearance/structured-data/local-business
- https://developers.google.com/search/docs/appearance/establish-business-details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9" s="7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20" ht="170" customHeight="1">
      <x:c r="A20" s="71" t="str">
        <x:v>Ajanslar AI Görünürlük Hizmetini Nasıl Paketler ve Fiyatlandırır?</x:v>
      </x:c>
      <x:c r="B20" s="71" t="str">
        <x:v>ajans AI görünürlük hizmeti</x:v>
      </x:c>
      <x:c r="C20" s="71" t="str">
        <x:v>Ticari araştırma / işlemsel</x:v>
      </x:c>
      <x:c r="D20" s="71" t="str">
        <x:v>Ajanslar AI Görünürlük Hizmetini Nasıl Satar?</x:v>
      </x:c>
      <x:c r="E20" s="71" t="str">
        <x:v>Ajans AI görünürlük hizmeti nasıl paketlenir, GEO danışmanlığı nasıl fiyatlandırılır? Teklif modelini kurun, aylık raporlamayı pilot müşteriyle test edin.</x:v>
      </x:c>
      <x:c r="F20" s="75" t="str">
        <x:v>TEMPLATE: Contact Studios How-To — ürün tie-in
    HEDEF UZUNLUK: 1.500–2.000 kelime; 2.500 kelimeyi geçme.
    OKUYUCU: SEO ve dijital pazarlama ajansı sahipleri, danışmanlar
    FUNNEL AŞAMASI: Karar
    ARAMA NİYETİ: Ticari araştırma / işlemsel
    TON: Profesyonel, anlaşılır, kanıta dayalı ve tarafsız. Reklam dili, abartı, “garantili görünürlük” ve doğrulanmamış üstünlük iddiaları kullanma.
    ANAHTAR KELİMELER
    - Birincil: ajans AI görünürlük hizmeti
    - İlgili/uzun kuyruklu: GEO ajans hizmeti, AI visibility service, AEO danışmanlığı, AI SEO ajansı, ChatGPT görünürlük hizmeti, GEO fiyatlandırma, AI audit hizmeti, ajans AI raporlama, LLM monitoring service, AI visibility retainer, GEO teklif şablonu, AI görünürlük müşteri raporu
    - Birincil anahtar kelimeyi ilk 100 kelime içinde doğal biçimde kullan.
    - Anahtar kelimeyi en az 3 başlıkta doğal ve dilbilgisel olarak kullan; keyword stuffing yapma.
    AÇILIŞ
    - H1: Ajanslar AI Görünürlük Hizmetini Nasıl Paketler ve Fiyatlandırır?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hizmet fırsatını anlatıyor ama scope, teslimat, SLA, metodoloji, maliyet ve yanlış vaat riskini detaylandırmıyor.
    ZORUNLU ÖZGÜN KANIT / PROPRIETARY INFORMATION
    Üç paket için gerçek maliyet modeli oluşturun: prompt kredisi, uzman saati, raporlama, içerik ve outreach maliyeti. Kâr marjı formülünü örnek rakamlarla, ancak 'örnek' etiketiyle yayınlayın.
    Bu çalışma yapılmadan yazıyı yayıma hazır sayma. Test tarihi, prompt sayısı, platformlar, dil/ülke ve yöntem açıkça belirtilsin. Veri üretilemezse sonuç uydurma; “test henüz yapılmadı” notu bırak.
    İÇERİK PLANI
    H2 — AI Görünürlük Hizmeti Nedir?
Ajansın müşteri markasını AI yanıtlarında ölçmesi, boşlukları teşhis etmesi ve iyileştirme çalışmalarını raporlaması olarak tanımlayın.
H2 — Müşteriye Satılabilecek 4 Teslimat
Baseline audit, aylık monitoring, content/schema optimization, citation/PR programı.
H2 — 1. İdeal Müşteri Profilini Belirleyin
SaaS, e-ticaret, profesyonel hizmetler, çok lokasyonlu işletmeler; yeterli talep ve içerik varlığı.
H2 — 2. Scope ve Metodolojiyi Yazılı Hale Getirin
Platform, prompt sayısı, dil/ülke, rakip sayısı, tekrar, rapor sıklığı.
H2 — 3. Üç Paket Oluşturun
H3: Audit; H3: Monitor; H3: Optimize. Her pakette dahil/hariç işler, teslim süresi ve KPI.
H2 — 4. Maliyet ve Fiyat Modeli Kurun
Araç/kredi, insan saati, içerik, PR, QA, müşteri yönetimi ve marj.
H2 — 5. İlk Pilot Müşteriyi Seçin
Baseline, 90 günlük hedef, değişiklik günlüğü ve vaka izni.
H2 — 6. Aylık Rapor ve Toplantı Akışı Kurun
Yönetici özeti, prompt gaps, citation, aksiyon, sahip ve son tarih.
H2 — 7. Garanti ve Risk Dilini Doğru Kullanın
AI model sonuçlarını garanti etmeyin; metodoloji ve olasılık dili kullanın.
H2 — 8. Operasyonu Ölçeklendirin
Şablonlar, otomasyon, QA, white-label portal, API ve rol dağılımı.
H2 — Rank Prompt Ajans Operasyonunda Nerede Konumlanır?
Çoklu marka, raporlama, rakip/prompt izleme ve ajans özelliklerini resmi siteden güncel kontrol ederek anlatın; alternatifleri de adil biçimde anın.
H2 — Sonuç
Ölçüm + strateji + uygulama + raporlama bütününü özetleyin.
    SONUÇ
    - 100–150 kelime.
    - Yalnızca ana bulguları özetle; yeni bilgi veya yeni iddia ekleme.
    - CTA’yı tek paragrafta, doğal ve baskısız biçimde kullan.
    SSS
    3–7 soru kullan; aşağıdaki sorular long-tail hedefleridir ve mevcut H2’leri tekrar etmemelidir:
    - GEO danışmanlığı ne kadar ücretlendirilir?
- AI görünürlük hizmetinde hangi KPI’lar raporlanır?
- Ajans müşteriye AI sıralama garantisi verebilir mi?
- AI visibility audit kaç prompt içermeli?
- Ajanslar hangi AI görünürlük aracını seçmeli?
    Her cevap 1–3 cümle olsun; soruyu cevabın içinde doğal biçimde tekrar et.
    İÇ LİNKLER
    - /ai-gorunurluk-raporu/ — “müşteri AI görünürlük raporu”
- /ai-arama-rakip-analizi/ — “prompt bazlı rakip analizi”
- /rank-prompt-nedir/ — “ajanslar için AI görünürlük platformu”
    Gelecek URL henüz yayımlanmadıysa linki kırık bırakma; içerik yayımlandıktan sonra eklenmek üzere editör notu koy.
    GÖRSEL ÖNERİLERİ
    - ajans-ai-gorunurluk-hizmeti-kapak.webp | Alt: Ajansın müşteriye AI görünürlük hizmeti sunduğunu gösteren kapak
- ai-hizmet-paketleri.webp | Alt: Audit monitor ve optimize paket karşılaştırması
- geo-maliyet-modeli.webp | Alt: GEO hizmeti maliyet ve marj hesaplama tablosu
- ajans-ai-rapor-akisi.webp | Alt: Aylık AI görünürlük rapor ve toplantı akışı
    Kapak + en az 3 ek görsel kullan. Ekran görüntülerinde tarih ve veri kaynağı belirt; kişisel/müşteri verilerini maskele.
    KAYNAKLAR
    Öncelikle resmi ve birincil kaynakları kullan:
    - https://rankprompt.com/use-cases/agencies/
- https://rankprompt.com/geo-for-agencies/
- https://rankprompt.com/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0" s="77" t="str">
        <x:v>Müşteri bazlı AI görünürlük raporlamasını manuel yürütüyorsanız Rank Prompt’un ajans iş akışını bu bağlantıdan inceleyebilirsiniz: https://join.rankprompt.com/zzzuy8sjj9ke-xj5vs Önce tek bir pilot müşteri ve sabit prompt setiyle test edin. Şeffaflık notu: Bu bir iş ortaklığı bağlantısıdır; kayıt veya satın alma halinde Ortak Alan komisyon kazanabilir.</x:v>
      </x:c>
    </x:row>
    <x:row r="21" ht="170" customHeight="1">
      <x:c r="A21" s="71" t="str">
        <x:v>En İyi AI Görünürlük Araçları 2026: 8 Platformu Nasıl Seçmeli?</x:v>
      </x:c>
      <x:c r="B21" s="71" t="str">
        <x:v>en iyi AI görünürlük araçları</x:v>
      </x:c>
      <x:c r="C21" s="71" t="str">
        <x:v>Ticari araştırma</x:v>
      </x:c>
      <x:c r="D21" s="71" t="str">
        <x:v>En İyi AI Görünürlük Araçları 2026</x:v>
      </x:c>
      <x:c r="E21" s="71" t="str">
        <x:v>En iyi AI görünürlük araçları 2026 listesinde ChatGPT takip araçlarını kapsam, citation ve ajans özellikleriyle karşılaştırın; ekibinize uygun aracı seçin.</x:v>
      </x:c>
      <x:c r="F21" s="75" t="str">
        <x:v>TEMPLATE: Contact Studios Best-Of
    HEDEF UZUNLUK: 1.500–2.000 kelime; 2.500 kelimeyi geçme.
    OKUYUCU: SEO yöneticileri, ajanslar, SaaS ve e-ticaret pazarlama ekipleri
    FUNNEL AŞAMASI: Karar
    ARAMA NİYETİ: Ticari araştırma
    TON: Profesyonel, anlaşılır, kanıta dayalı ve tarafsız. Reklam dili, abartı, “garantili görünürlük” ve doğrulanmamış üstünlük iddiaları kullanma.
    ANAHTAR KELİMELER
    - Birincil: en iyi AI görünürlük araçları
    - İlgili/uzun kuyruklu: AI visibility tools, ChatGPT visibility tools, GEO tools, AEO tools, LLM tracking tools, AI brand monitoring, AI citation tracking tools, AI search analytics, Rank Prompt alternatifleri, Profound vs Peec AI, Otterly AI inceleme, AI visibility software
    - Birincil anahtar kelimeyi ilk 100 kelime içinde doğal biçimde kullan.
    - Anahtar kelimeyi en az 3 başlıkta doğal ve dilbilgisel olarak kullan; keyword stuffing yapma.
    AÇILIŞ
    - H1: En İyi AI Görünürlük Araçları 2026: 8 Platformu Nasıl Seçmeli?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listeler çoğunlukla fiyat ve platform sayısını tekrar ediyor. Bu yazı metodoloji şeffaflığı, prompt kontrolü, citation derinliği, veri export/API, ajans workflow’u ve toplam maliyeti karşılaştırmalı.
    ZORUNLU ÖZGÜN KANIT / PROPRIETARY INFORMATION
    Aynı 10 promptu mümkün olan araçlarda test edin ve veri tazeliği, platform kapsamı, citation ayrıntısı, export, onboarding süresi ve toplam maliyet üzerinden şeffaf puanlama rubriği yayınlayın. Test edilemeyen özellikleri açıkça 'resmi bilgi' olarak etiketleyin.
    Bu çalışma yapılmadan yazıyı yayıma hazır sayma. Test tarihi, prompt sayısı, platformlar, dil/ülke ve yöntem açıkça belirtilsin. Veri üretilemezse sonuç uydurma; “test henüz yapılmadı” notu bırak.
    İÇERİK PLANI
    H2 — En İyi AI Görünürlük Araçları
İlk H2 altında 8 aracı anchor linkli kısa liste olarak verin: Rank Prompt, Semrush, Ahrefs Brand Radar, Profound, Peec AI, Otterly.ai, SE Ranking ve Writesonic. Yayın gününde resmi kapsamı doğrulayın.
H2 — Araçları Nasıl Değerlendirdik?
Test tarihi, aynı prompt seti, platform kapsamı, citation, rakip analizi, trend, export/API, ajans özellikleri, fiyat ve kullanım kolaylığı kriterleri.
H2 — 1. Rank Prompt — Aksiyon ve Ajans İş Akışı İçin
Kendi ürününüz gibi yazmayın; resmi özellikleri, güçlü yanları, sınırlamaları, güncel fiyatı ve ideal kullanıcıyı tarafsız sunun.
H2 — 2. Semrush — Klasik SEO ile AI Takibini Birleştiren Ekipler İçin
Resmi site ve güncel fiyatla doğrulayın; güçlü ve zayıf yönleri.
H2 — 3. Ahrefs Brand Radar — Ahrefs Ekosistemindeki Ekipler İçin
Aynı yapı.
H2 — 4. Profound — Kurumsal Analiz ve Yönetişim İçin
Aynı yapı.
H2 — 5. Peec AI — Share of Voice ve Pazar Görünümü İçin
Aynı yapı.
H2 — 6. Otterly.ai — Daha Hafif Monitoring İhtiyacı İçin
Aynı yapı.
H2 — 7. SE Ranking — Birleşik SEO Platformu Arayanlar İçin
Aynı yapı.
H2 — 8. Writesonic — İçerik ve AI Görünürlüğünü Birleştirenler İçin
Aynı yapı.
H2 — AI Görünürlük Aracı Seçerken 10 Kriter
Platform, lokasyon/dil, prompt kontrolü, citation, rakip, trend, export/API, entegrasyon, ajans özellikleri, toplam maliyet.
H2 — Karşılaştırma Tablosu
Tüm araçlar için test edildi/resmi bilgi ayrımını işaretleyin; fiyatlara 'kontrol tarihi' ekleyin.
H2 — Hangi Araç Kimin İçin Uygun?
Solo, in-house SEO, içerik ekibi, ajans, enterprise senaryoları.
H2 — Sonuç
Tek bir 'herkes için en iyi' olmadığını; kullanım senaryosuna göre seçim yapılması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AI görünürlük aracı ne işe yarar?
- Ücretsiz ChatGPT görünürlük takip aracı var mı?
- AI visibility tool ile SEO aracı arasındaki fark nedir?
- Ajanslar için en iyi GEO aracı hangisidir?
- AI görünürlük araçlarının sonuçları neden farklıdır?
    Her cevap 1–3 cümle olsun; soruyu cevabın içinde doğal biçimde tekrar et.
    İÇ LİNKLER
    - /rank-prompt-nedir/ — “Rank Prompt incelemesi”
- /llm-gorunurluk-takibi/ — “LLM görünürlük takibi”
- /ajans-ai-gorunurluk-hizmeti/ — “ajans AI görünürlük operasyonu”
    Gelecek URL henüz yayımlanmadıysa linki kırık bırakma; içerik yayımlandıktan sonra eklenmek üzere editör notu koy.
    GÖRSEL ÖNERİLERİ
    - en-iyi-ai-gorunurluk-araclari-kapak.webp | Alt: 2026 AI görünürlük araçları karşılaştırma kapak görseli
- ai-arac-degerlendirme-rubrigi.webp | Alt: AI görünürlük araçları puanlama rubriği
- ai-gorunurluk-araclari-tablosu.webp | Alt: Sekiz AI görünürlük aracını karşılaştıran tablo
- hangi-ai-araci.webp | Alt: Kullanım senaryosuna göre AI görünürlük aracı seçim ağacı
    Kapak + en az 3 ek görsel kullan. Ekran görüntülerinde tarih ve veri kaynağı belirt; kişisel/müşteri verilerini maskele.
    KAYNAKLAR
    Öncelikle resmi ve birincil kaynakları kullan:
    - https://rankprompt.com/
- https://rankprompt.com/pricing/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1" s="77" t="str">
        <x:v>Karşılaştırma kriterleriniz Rank Prompt’la örtüşüyorsa platformu bu bağlantıdan inceleyebilirsiniz: https://join.rankprompt.com/zzzuy8sjj9ke-xj5vs Araç seçimini kendi prompt setinizle test ederek yapın; hiçbir platform görünürlük veya sıralama garantisi vermez. Şeffaflık notu: Bu bir iş ortaklığı bağlantısıdır; kayıt veya satın alma halinde Ortak Alan komisyon kazanabilir.</x:v>
      </x:c>
    </x:row>
  </x:sheetData>
  <x:pageMargins left="0.7" right="0.7" top="0.75" bottom="0.75" header="0.3" footer="0.3"/>
  <x:tableParts count="1">
    <x:tablePart xmlns:r="http://schemas.openxmlformats.org/officeDocument/2006/relationships" r:id="Rf5a8a14c4d78494d"/>
  </x:tableParts>
</x:worksheet>
</file>

<file path=xl/worksheets/sheet3.xml><?xml version="1.0" encoding="utf-8"?>
<x:worksheet xmlns:x="http://schemas.openxmlformats.org/spreadsheetml/2006/main">
  <x:sheetFormatPr defaultRowHeight="15"/>
  <x:cols>
    <x:col min="1" max="1" width="6" hidden="0" customWidth="1"/>
    <x:col min="2" max="2" width="23" hidden="0" customWidth="1"/>
    <x:col min="3" max="3" width="15" hidden="0" customWidth="1"/>
    <x:col min="4" max="4" width="32" hidden="0" customWidth="1"/>
    <x:col min="5" max="5" width="28" hidden="0" customWidth="1"/>
    <x:col min="6" max="6" width="30" hidden="0" customWidth="1"/>
    <x:col min="7" max="7" width="28" hidden="0" customWidth="1"/>
    <x:col min="8" max="8" width="55" hidden="0" customWidth="1"/>
    <x:col min="9" max="9" width="62" hidden="0" customWidth="1"/>
    <x:col min="10" max="10" width="58" hidden="0" customWidth="1"/>
    <x:col min="11" max="11" width="48" hidden="0" customWidth="1"/>
    <x:col min="12" max="12" width="55" hidden="0" customWidth="1"/>
    <x:col min="13" max="13" width="52" hidden="0" customWidth="1"/>
    <x:col min="14" max="14" width="42" hidden="0" customWidth="1"/>
    <x:col min="15" max="15" width="9" hidden="0" customWidth="1"/>
    <x:col min="16" max="16" width="16" hidden="0" customWidth="1"/>
    <x:col min="17" max="17" width="14" hidden="0" customWidth="1"/>
    <x:col min="18" max="18" width="18" hidden="0" customWidth="1"/>
    <x:col min="19" max="19" width="14" hidden="0" customWidth="1"/>
  </x:cols>
  <x:sheetData>
    <x:row r="1" ht="42" customHeight="1">
      <x:c r="A1" s="82" t="str">
        <x:v>ID</x:v>
      </x:c>
      <x:c r="B1" s="82" t="str">
        <x:v>Cluster</x:v>
      </x:c>
      <x:c r="C1" s="82" t="str">
        <x:v>Funnel</x:v>
      </x:c>
      <x:c r="D1" s="82" t="str">
        <x:v>Persona</x:v>
      </x:c>
      <x:c r="E1" s="82" t="str">
        <x:v>Template</x:v>
      </x:c>
      <x:c r="F1" s="82" t="str">
        <x:v>Slug</x:v>
      </x:c>
      <x:c r="G1" s="82" t="str">
        <x:v>Primary keyword</x:v>
      </x:c>
      <x:c r="H1" s="82" t="str">
        <x:v>Related keywords</x:v>
      </x:c>
      <x:c r="I1" s="82" t="str">
        <x:v>Proprietary data requirement</x:v>
      </x:c>
      <x:c r="J1" s="82" t="str">
        <x:v>Competitor gap</x:v>
      </x:c>
      <x:c r="K1" s="82" t="str">
        <x:v>Internal linking plan</x:v>
      </x:c>
      <x:c r="L1" s="82" t="str">
        <x:v>Image plan</x:v>
      </x:c>
      <x:c r="M1" s="82" t="str">
        <x:v>Official source URLs</x:v>
      </x:c>
      <x:c r="N1" s="82" t="str">
        <x:v>Duplicate check</x:v>
      </x:c>
      <x:c r="O1" s="82" t="str">
        <x:v>Priority</x:v>
      </x:c>
      <x:c r="P1" s="82" t="str">
        <x:v>Status</x:v>
      </x:c>
      <x:c r="Q1" s="82" t="str">
        <x:v>Meta title chars</x:v>
      </x:c>
      <x:c r="R1" s="82" t="str">
        <x:v>Meta description chars</x:v>
      </x:c>
      <x:c r="S1" s="82" t="str">
        <x:v>Metadata QA</x:v>
      </x:c>
    </x:row>
    <x:row r="2" ht="110" customHeight="1">
      <x:c r="A2" s="93" t="n">
        <x:v>1</x:v>
      </x:c>
      <x:c r="B2" s="89" t="str">
        <x:v>Ürün ve temel kavramlar</x:v>
      </x:c>
      <x:c r="C2" s="89" t="str">
        <x:v>Değerlendirme</x:v>
      </x:c>
      <x:c r="D2" s="89" t="str">
        <x:v>SEO uzmanları, growth ekipleri, ajanslar, SaaS kurucuları</x:v>
      </x:c>
      <x:c r="E2" s="89" t="str">
        <x:v>HubSpot “What Is” — ürün odaklı editoryal</x:v>
      </x:c>
      <x:c r="F2" s="89" t="str">
        <x:v>rank-prompt-nedir</x:v>
      </x:c>
      <x:c r="G2" s="89" t="str">
        <x:v>Rank Prompt nedir</x:v>
      </x:c>
      <x:c r="H2" s="89" t="str">
        <x:v>Rank Prompt ne işe yarar, Rank Prompt inceleme, Rank Prompt özellikleri, Rank Prompt fiyatları, AI görünürlük platformu, ChatGPT görünürlük aracı, GEO takip aracı, LLM marka takibi, AI rakip analizi, AI citation tracking, AI visibility score, Rank Prompt alternatifleri</x:v>
      </x:c>
      <x:c r="I2" s="89" t="str">
        <x:v>Bir Ortak Alan markası veya örnek SaaS için aynı gün 25 satın alma niyetli prompt çalıştırın; platform, görünürlük puanı, marka geçişi, rakip ve kaynak sayısını ekran görüntüleriyle raporlayın. Sonuçları olumlu ya da olumsuz olduğu haliyle yazın.</x:v>
      </x:c>
      <x:c r="J2" s="89" t="str">
        <x:v>Türkçe ürün yazıları çoğunlukla özellik listesinden ibaret. Bu yazı; gerçek kullanım akışı, hangi ekip için mantıklı olduğu, ölçüm metodolojisi, veri sınırlamaları ve 'garanti vermez' çerçevesini birlikte sunmalı.</x:v>
      </x:c>
      <x:c r="K2" s="89" t="str">
        <x:v>https://ortakalan.io/dextergpt-nedir/ — “AI SEO otomasyonu” anchor metni
Yayın sonrası /ai-gorunurluk-nedir/ — “AI görünürlük nedir” anchor metni</x:v>
      </x:c>
      <x:c r="L2" s="89" t="str">
        <x:v>rank-prompt-nedir-kapak.webp | Rank Prompt AI görünürlük platformunu anlatan sade kapak görseli
rank-prompt-dashboard.webp | Rank Prompt görünürlük skoru ve rakip paneli ekranı
rank-prompt-prompt-analizi.webp | Prompt bazında marka, rakip ve kaynak analizi ekranı
rank-prompt-is-akisi.webp | Tarama, analiz, optimizasyon ve yeniden ölçüm iş akışı diyagramı</x:v>
      </x:c>
      <x:c r="M2" s="89" t="str">
        <x:v>https://rankprompt.com/
https://rankprompt.com/pricing/
https://rankprompt.com/llm-info/
https://developers.google.com/search/docs/fundamentals/third-party-seo</x:v>
      </x:c>
      <x:c r="N2" s="89" t="str">
        <x:v>12 Temmuz 2026 site aramasında tam eşleşen Rank Prompt yazısı bulunmadı.</x:v>
      </x:c>
      <x:c r="O2" s="93" t="n">
        <x:v>1</x:v>
      </x:c>
      <x:c r="P2" s="93" t="str">
        <x:v>Brief hazır</x:v>
      </x:c>
      <x:c r="Q2" s="93" t="n">
        <x:f>LEN(Import_Brief!D2)</x:f>
        <x:v>40</x:v>
      </x:c>
      <x:c r="R2" s="93" t="n">
        <x:f>LEN(Import_Brief!E2)</x:f>
        <x:v>152</x:v>
      </x:c>
      <x:c r="S2" s="93" t="str">
        <x:f>IF(AND(Q2&lt;=60,R2&gt;=150,R2&lt;=160),"OK","Düzelt")</x:f>
        <x:v>OK</x:v>
      </x:c>
    </x:row>
    <x:row r="3" ht="110" customHeight="1">
      <x:c r="A3" s="93" t="n">
        <x:v>2</x:v>
      </x:c>
      <x:c r="B3" s="89" t="str">
        <x:v>Ürün ve temel kavramlar</x:v>
      </x:c>
      <x:c r="C3" s="89" t="str">
        <x:v>Farkındalık</x:v>
      </x:c>
      <x:c r="D3" s="89" t="str">
        <x:v>Pazarlama yöneticileri, marka ekipleri, girişimciler</x:v>
      </x:c>
      <x:c r="E3" s="89" t="str">
        <x:v>HubSpot “What Is”</x:v>
      </x:c>
      <x:c r="F3" s="89" t="str">
        <x:v>ai-gorunurluk-nedir</x:v>
      </x:c>
      <x:c r="G3" s="89" t="str">
        <x:v>AI görünürlük nedir</x:v>
      </x:c>
      <x:c r="H3" s="89" t="str">
        <x:v>yapay zeka görünürlüğü, AI marka görünürlüğü, ChatGPT marka görünürlüğü, LLM görünürlüğü, AI visibility nedir, AI görünürlük skoru, AI arama ölçümü, marka mention takibi, AI citation tracking, GEO ölçümü, AEO performansı, AI share of voice</x:v>
      </x:c>
      <x:c r="I3" s="89" t="str">
        <x:v>Aynı sektörden üç markayı 20 ortak promptta test edip 'görünme', 'önerilme', 'kaynak gösterilme' ve 'doğru tanımlanma' oranlarını ayrı ayrı gösteren mini veri tablosu oluşturun.</x:v>
      </x:c>
      <x:c r="J3" s="89" t="str">
        <x:v>Rakip içeriklerin çoğu AI görünürlüğünü tek bir mention sayısına indiriyor. Bu yazı dört katmanlı bir ölçüm modeli ve örnek hesaplama sunmalı.</x:v>
      </x:c>
      <x:c r="K3" s="89" t="str">
        <x:v>/rank-prompt-nedir/ — “AI görünürlük platformu” anchor metni
https://ortakalan.io/dextergpt-nedir/ — “AI SEO nedir” anchor metni</x:v>
      </x:c>
      <x:c r="L3" s="89" t="str">
        <x:v>ai-gorunurluk-nedir-kapak.webp | AI görünürlük kavramını marka ve yapay zeka yanıtlarıyla gösteren kapak
ai-gorunurluk-metrikleri.webp | Mention, önerilme, citation ve doğruluk metrikleri diyagramı
seo-vs-ai-gorunurluk.webp | Klasik SEO görünürlüğü ile AI görünürlüğü karşılaştırma tablosu
30-gun-ai-gorunurluk-plani.webp | 30 günlük AI görünürlük ölçüm ve iyileştirme takvimi</x:v>
      </x:c>
      <x:c r="M3" s="89" t="str">
        <x:v>https://rankprompt.com/llm-info/
https://developers.google.com/search/docs/appearance/ai-features
https://developers.google.com/search/docs/fundamentals/ai-optimization-guide</x:v>
      </x:c>
      <x:c r="N3" s="89" t="str">
        <x:v>Tam eşleşen başlık bulunmadı; DexterGPT yazısındaki genel AI SEO bölümüyle kısmi konu yakınlığı var.</x:v>
      </x:c>
      <x:c r="O3" s="93" t="n">
        <x:v>2</x:v>
      </x:c>
      <x:c r="P3" s="93" t="str">
        <x:v>Brief hazır</x:v>
      </x:c>
      <x:c r="Q3" s="93" t="n">
        <x:f>LEN(Import_Brief!D3)</x:f>
        <x:v>34</x:v>
      </x:c>
      <x:c r="R3" s="93" t="n">
        <x:f>LEN(Import_Brief!E3)</x:f>
        <x:v>151</x:v>
      </x:c>
      <x:c r="S3" s="93" t="str">
        <x:f>IF(AND(Q3&lt;=60,R3&gt;=150,R3&lt;=160),"OK","Düzelt")</x:f>
        <x:v>OK</x:v>
      </x:c>
    </x:row>
    <x:row r="4" ht="110" customHeight="1">
      <x:c r="A4" s="93" t="n">
        <x:v>3</x:v>
      </x:c>
      <x:c r="B4" s="89" t="str">
        <x:v>Ürün ve temel kavramlar</x:v>
      </x:c>
      <x:c r="C4" s="89" t="str">
        <x:v>Farkındalık</x:v>
      </x:c>
      <x:c r="D4" s="89" t="str">
        <x:v>SEO uzmanları, içerik stratejistleri, pazarlama liderleri</x:v>
      </x:c>
      <x:c r="E4" s="89" t="str">
        <x:v>HubSpot Pillar Page</x:v>
      </x:c>
      <x:c r="F4" s="89" t="str">
        <x:v>aeo-geo-seo-farki</x:v>
      </x:c>
      <x:c r="G4" s="89" t="str">
        <x:v>AEO GEO SEO farkı</x:v>
      </x:c>
      <x:c r="H4" s="89" t="str">
        <x:v>AEO nedir, GEO nedir, SEO nedir, answer engine optimization, generative engine optimization, LLMO nedir, AI SEO, AEO ve SEO farkı, GEO ve SEO farkı, AI arama optimizasyonu, cevap motoru optimizasyonu, üretken arama optimizasyonu</x:v>
      </x:c>
      <x:c r="I4" s="89" t="str">
        <x:v>Ortak Alan için tek bir içerik sayfasını üç mercekten değerlendiren gerçek bir mini audit ekleyin: klasik SEO sinyalleri, cevaplanabilirlik ve AI citation/brand visibility.</x:v>
      </x:c>
      <x:c r="J4" s="89" t="str">
        <x:v>Birçok içerik terimleri birbirinin yerine kullanıyor. Yazı Google’ın resmi yaklaşımını da dahil ederek terimlerin pazarlama etiketleri ile uygulanabilir iş kalemlerini ayırmalı.</x:v>
      </x:c>
      <x:c r="K4" s="89" t="str">
        <x:v>/ai-gorunurluk-nedir/ — “AI görünürlük” anchor metni
https://ortakalan.io/dextergpt-nedir/ — “AI SEO otomasyonu” anchor metni</x:v>
      </x:c>
      <x:c r="L4" s="89" t="str">
        <x:v>aeo-geo-seo-farki-kapak.webp | AEO GEO ve SEO kavramlarını üç kesişen daireyle gösteren kapak
aeo-geo-seo-karsilastirma.webp | AEO GEO ve SEO karşılaştırma matrisi
arama-optimizasyonu-yol-haritasi.webp | SEO’dan AI görünürlüğüne birleşik optimizasyon yol haritası
saas-sayfa-audit-ornegi.webp | Bir SaaS sayfasının SEO AEO GEO mini audit görseli</x:v>
      </x:c>
      <x:c r="M4" s="89" t="str">
        <x:v>https://developers.google.com/search/docs/fundamentals/ai-optimization-guide
https://developers.google.com/search/docs/appearance/ai-features
https://developers.google.com/search/docs/fundamentals/third-party-seo</x:v>
      </x:c>
      <x:c r="N4" s="89" t="str">
        <x:v>Site aramasında AEO/GEO odaklı bağımsız bir yazı bulunmadı; DexterGPT yazısı AI SEO’ya kısa giriş yapıyor.</x:v>
      </x:c>
      <x:c r="O4" s="93" t="n">
        <x:v>3</x:v>
      </x:c>
      <x:c r="P4" s="93" t="str">
        <x:v>Brief hazır</x:v>
      </x:c>
      <x:c r="Q4" s="93" t="n">
        <x:f>LEN(Import_Brief!D4)</x:f>
        <x:v>34</x:v>
      </x:c>
      <x:c r="R4" s="93" t="n">
        <x:f>LEN(Import_Brief!E4)</x:f>
        <x:v>153</x:v>
      </x:c>
      <x:c r="S4" s="93" t="str">
        <x:f>IF(AND(Q4&lt;=60,R4&gt;=150,R4&lt;=160),"OK","Düzelt")</x:f>
        <x:v>OK</x:v>
      </x:c>
    </x:row>
    <x:row r="5" ht="110" customHeight="1">
      <x:c r="A5" s="93" t="n">
        <x:v>4</x:v>
      </x:c>
      <x:c r="B5" s="89" t="str">
        <x:v>Ürün ve temel kavramlar</x:v>
      </x:c>
      <x:c r="C5" s="89" t="str">
        <x:v>Değerlendirme</x:v>
      </x:c>
      <x:c r="D5" s="89" t="str">
        <x:v>SEO analistleri, pazarlama yöneticileri, ajans raporlama ekipleri</x:v>
      </x:c>
      <x:c r="E5" s="89" t="str">
        <x:v>HubSpot “What Is”</x:v>
      </x:c>
      <x:c r="F5" s="89" t="str">
        <x:v>ai-gorunurluk-skoru</x:v>
      </x:c>
      <x:c r="G5" s="89" t="str">
        <x:v>AI görünürlük skoru</x:v>
      </x:c>
      <x:c r="H5" s="89" t="str">
        <x:v>AI visibility score, ChatGPT görünürlük skoru, LLM visibility score, AI share of voice, marka mention oranı, AI citation oranı, prompt coverage, AI benchmark, rakip görünürlük skoru, AI sıralama metriği, GEO KPI, AI görünürlük ölçümü</x:v>
      </x:c>
      <x:c r="I5" s="89" t="str">
        <x:v>Ağırlıklı ve ağırlıksız iki ayrı skor modeli oluşturun; 30 promptluk örnek veriyle yüksek niyetli promptların toplam skoru nasıl değiştirdiğini hesaplayın.</x:v>
      </x:c>
      <x:c r="J5" s="89" t="str">
        <x:v>Rakip yazılar genellikle araca ait tek yüzdeyi açıklıyor. Bu yazı skoru bileşenlerine ayırmalı, örneklem yanlılığını ve yanlış karşılaştırma riskini göstermeli.</x:v>
      </x:c>
      <x:c r="K5" s="89" t="str">
        <x:v>/ai-gorunurluk-nedir/ — “AI görünürlük nedir” anchor metni
/rank-prompt-nedir/ — “AI görünürlük skoru ölçen araç” anchor metni</x:v>
      </x:c>
      <x:c r="L5" s="89" t="str">
        <x:v>ai-gorunurluk-skoru-kapak.webp | AI görünürlük skoru göstergesi ve marka ikonları
ai-skor-formulu.webp | AI görünürlük skoru örnek hesaplama formülü
agirlikli-ai-skoru.webp | Ağırlıklı ve ağırlıksız AI görünürlük skoru karşılaştırması
ai-benchmark-dashboard.webp | Rakiplere göre AI görünürlük benchmark dashboard örneği</x:v>
      </x:c>
      <x:c r="M5" s="89" t="str">
        <x:v>https://rankprompt.com/llm-info/
https://rankprompt.com/ai-visibility-benchmarks-where-do-you-stand/</x:v>
      </x:c>
      <x:c r="N5" s="89" t="str">
        <x:v>Tam eşleşen bağımsız içerik bulunmadı.</x:v>
      </x:c>
      <x:c r="O5" s="93" t="n">
        <x:v>4</x:v>
      </x:c>
      <x:c r="P5" s="93" t="str">
        <x:v>Brief hazır</x:v>
      </x:c>
      <x:c r="Q5" s="93" t="n">
        <x:f>LEN(Import_Brief!D5)</x:f>
        <x:v>26</x:v>
      </x:c>
      <x:c r="R5" s="93" t="n">
        <x:f>LEN(Import_Brief!E5)</x:f>
        <x:v>151</x:v>
      </x:c>
      <x:c r="S5" s="93" t="str">
        <x:f>IF(AND(Q5&lt;=60,R5&gt;=150,R5&lt;=160),"OK","Düzelt")</x:f>
        <x:v>OK</x:v>
      </x:c>
    </x:row>
    <x:row r="6" ht="110" customHeight="1">
      <x:c r="A6" s="93" t="n">
        <x:v>5</x:v>
      </x:c>
      <x:c r="B6" s="89" t="str">
        <x:v>Ölçüm ve raporlama</x:v>
      </x:c>
      <x:c r="C6" s="89" t="str">
        <x:v>Değerlendirme</x:v>
      </x:c>
      <x:c r="D6" s="89" t="str">
        <x:v>Marka yöneticileri, SEO uzmanları, SaaS ve e-ticaret ekipleri</x:v>
      </x:c>
      <x:c r="E6" s="89" t="str">
        <x:v>Contact Studios How-To — ürün tie-in</x:v>
      </x:c>
      <x:c r="F6" s="89" t="str">
        <x:v>chatgpt-marka-gorunurlugu-olcme</x:v>
      </x:c>
      <x:c r="G6" s="89" t="str">
        <x:v>ChatGPT marka görünürlüğü ölçme</x:v>
      </x:c>
      <x:c r="H6" s="89" t="str">
        <x:v>ChatGPT marka takibi, ChatGPT’de görünürlük, ChatGPT mention tracking, ChatGPT brand monitoring, ChatGPT öneri takibi, AI marka ölçümü, ChatGPT citation tracking, ChatGPT rakip analizi, LLM prompt tracking, ChatGPT görünürlük raporu, AI share of voice, ChatGPT marka denetimi</x:v>
      </x:c>
      <x:c r="I6" s="89" t="str">
        <x:v>Türkiye pazarında bir kategori için 30 marka dışı promptu üç niyet seviyesine ayırın; aynı gün iki tekrar yaparak cevap değişkenliğini ve marka görünme oranını tabloya ekleyin.</x:v>
      </x:c>
      <x:c r="J6" s="89" t="str">
        <x:v>Mevcut rehberler genellikle birkaç manuel sorgu öneriyor. Bu yazı prompt örneklemi, tekrar sayısı, tarih/model kaydı ve ağırlıklı KPI ile yeniden üretilebilir bir protokol vermeli.</x:v>
      </x:c>
      <x:c r="K6" s="89" t="str">
        <x:v>/ai-gorunurluk-skoru/ — “AI görünürlük skoru” anchor metni
/rank-prompt-nedir/ — “otomatik ChatGPT görünürlük takibi” anchor metni</x:v>
      </x:c>
      <x:c r="L6" s="89" t="str">
        <x:v>chatgpt-marka-gorunurlugu-kapak.webp | ChatGPT yanıtında marka görünürlüğü ölçümünü gösteren kapak
chatgpt-prompt-seti.webp | Keşif karşılaştırma ve satın alma prompt seti örnekleri
chatgpt-gorunurluk-tablosu.webp | Mention öneri sıra ve citation veri toplama tablosu
chatgpt-olcum-is-akisi.webp | 8 adımlı ChatGPT marka görünürlüğü ölçüm akışı</x:v>
      </x:c>
      <x:c r="M6" s="89" t="str">
        <x:v>https://rankprompt.com/
https://help.openai.com/en/articles/12627856-publishers-and-developers-faq</x:v>
      </x:c>
      <x:c r="N6" s="89" t="str">
        <x:v>Tam eşleşen içerik bulunmadı.</x:v>
      </x:c>
      <x:c r="O6" s="93" t="n">
        <x:v>5</x:v>
      </x:c>
      <x:c r="P6" s="93" t="str">
        <x:v>Brief hazır</x:v>
      </x:c>
      <x:c r="Q6" s="93" t="n">
        <x:f>LEN(Import_Brief!D6)</x:f>
        <x:v>40</x:v>
      </x:c>
      <x:c r="R6" s="93" t="n">
        <x:f>LEN(Import_Brief!E6)</x:f>
        <x:v>155</x:v>
      </x:c>
      <x:c r="S6" s="93" t="str">
        <x:f>IF(AND(Q6&lt;=60,R6&gt;=150,R6&lt;=160),"OK","Düzelt")</x:f>
        <x:v>OK</x:v>
      </x:c>
    </x:row>
    <x:row r="7" ht="110" customHeight="1">
      <x:c r="A7" s="93" t="n">
        <x:v>6</x:v>
      </x:c>
      <x:c r="B7" s="89" t="str">
        <x:v>Ölçüm ve raporlama</x:v>
      </x:c>
      <x:c r="C7" s="89" t="str">
        <x:v>Değerlendirme</x:v>
      </x:c>
      <x:c r="D7" s="89" t="str">
        <x:v>SEO ve growth ekipleri, veri analistleri, ajanslar</x:v>
      </x:c>
      <x:c r="E7" s="89" t="str">
        <x:v>Contact Studios How-To — ürün tie-in</x:v>
      </x:c>
      <x:c r="F7" s="89" t="str">
        <x:v>llm-gorunurluk-takibi</x:v>
      </x:c>
      <x:c r="G7" s="89" t="str">
        <x:v>LLM görünürlük takibi</x:v>
      </x:c>
      <x:c r="H7" s="89" t="str">
        <x:v>LLM marka takibi, AI visibility tracking, ChatGPT Gemini marka takibi, Perplexity görünürlük takibi, Claude marka görünürlüğü, Grok marka takibi, AI platform karşılaştırması, prompt monitoring, LLM citation tracking, AI mention tracking, multi-LLM tracking, AI visibility dashboard</x:v>
      </x:c>
      <x:c r="I7" s="89" t="str">
        <x:v>Aynı 15 promptu altı platformda çalıştırın; marka var/yok, öneri sırası, kaynak linki ve cevap tutarlılığını platform bazında karşılaştıran özgün 6x15 matris yayınlayın.</x:v>
      </x:c>
      <x:c r="J7" s="89" t="str">
        <x:v>Çoğu içerik tek platforma odaklanıyor veya araç listesi veriyor. Bu yazı platformlar arası standardizasyon ve sonuçların neden doğrudan eşitlenemeyeceğini açıklamalı.</x:v>
      </x:c>
      <x:c r="K7" s="89" t="str">
        <x:v>/chatgpt-marka-gorunurlugu-olcme/ — “ChatGPT marka görünürlüğü ölçme”
/ai-gorunurluk-skoru/ — “AI görünürlük skoru”</x:v>
      </x:c>
      <x:c r="L7" s="89" t="str">
        <x:v>llm-gorunurluk-takibi-kapak.webp | Farklı AI platformlarında marka görünürlüğünü gösteren kapak
multi-llm-karsilastirma-matrisi.webp | Altı AI platformu için görünürlük karşılaştırma matrisi
llm-veri-semasi.webp | Mention rank citation ve sentiment veri şeması
llm-trend-dashboard.webp | Platform bazlı AI görünürlük trend dashboard örneği</x:v>
      </x:c>
      <x:c r="M7" s="89" t="str">
        <x:v>https://rankprompt.com/
https://rankprompt.com/developers/</x:v>
      </x:c>
      <x:c r="N7" s="89" t="str">
        <x:v>Tam eşleşen bağımsız LLM görünürlük takibi yazısı bulunmadı.</x:v>
      </x:c>
      <x:c r="O7" s="93" t="n">
        <x:v>6</x:v>
      </x:c>
      <x:c r="P7" s="93" t="str">
        <x:v>Brief hazır</x:v>
      </x:c>
      <x:c r="Q7" s="93" t="n">
        <x:f>LEN(Import_Brief!D7)</x:f>
        <x:v>36</x:v>
      </x:c>
      <x:c r="R7" s="93" t="n">
        <x:f>LEN(Import_Brief!E7)</x:f>
        <x:v>155</x:v>
      </x:c>
      <x:c r="S7" s="93" t="str">
        <x:f>IF(AND(Q7&lt;=60,R7&gt;=150,R7&lt;=160),"OK","Düzelt")</x:f>
        <x:v>OK</x:v>
      </x:c>
    </x:row>
    <x:row r="8" ht="110" customHeight="1">
      <x:c r="A8" s="93" t="n">
        <x:v>7</x:v>
      </x:c>
      <x:c r="B8" s="89" t="str">
        <x:v>Ölçüm ve raporlama</x:v>
      </x:c>
      <x:c r="C8" s="89" t="str">
        <x:v>Değerlendirme</x:v>
      </x:c>
      <x:c r="D8" s="89" t="str">
        <x:v>SEO liderleri, kategori yöneticileri, ajans stratejistleri</x:v>
      </x:c>
      <x:c r="E8" s="89" t="str">
        <x:v>Contact Studios How-To — ürün tie-in</x:v>
      </x:c>
      <x:c r="F8" s="89" t="str">
        <x:v>ai-arama-rakip-analizi</x:v>
      </x:c>
      <x:c r="G8" s="89" t="str">
        <x:v>AI arama rakip analizi</x:v>
      </x:c>
      <x:c r="H8" s="89" t="str">
        <x:v>ChatGPT rakip analizi, AI competitor analysis, LLM rakip takibi, AI share of voice, rakip mention analizi, AI citation gap, prompt gap analizi, GEO rakip analizi, AI search market share, rakip kaynak analizi, AI recommendation tracking, LLM benchmarking</x:v>
      </x:c>
      <x:c r="I8" s="89" t="str">
        <x:v>Üç rakip için 40 promptta 'hangi marka, hangi gerekçeyle, hangi kaynakla önerildi?' kodlaması yapın; en sık tekrar eden 5 rakip kanıt türünü özgün tablo halinde yayınlayın.</x:v>
      </x:c>
      <x:c r="J8" s="89" t="str">
        <x:v>Araç listeleri görünürlüğü sayıyor ancak rakibin neden önerildiğini ayrıştırmıyor. Yazı içerik, entity, üçüncü taraf kaynak ve ürün kanıtı olmak üzere dört neden kategorisi sunmalı.</x:v>
      </x:c>
      <x:c r="K8" s="89" t="str">
        <x:v>/llm-gorunurluk-takibi/ — “LLM görünürlük takibi”
/rank-prompt-nedir/ — “AI rakip analizi aracı”</x:v>
      </x:c>
      <x:c r="L8" s="89" t="str">
        <x:v>ai-arama-rakip-analizi-kapak.webp | AI yanıtlarında rakip marka karşılaştırmasını gösteren kapak
prompt-rakip-haritasi.webp | Satın alma yolculuğuna göre rakip prompt haritası
ai-citation-gap.webp | Rakip kaynak ve citation boşluğu analizi
etki-efor-matrisi.webp | AI görünürlük aksiyonları için etki efor matrisi</x:v>
      </x:c>
      <x:c r="M8" s="89" t="str">
        <x:v>https://rankprompt.com/
https://rankprompt.com/developers/</x:v>
      </x:c>
      <x:c r="N8" s="89" t="str">
        <x:v>Tam eşleşen içerik bulunmadı.</x:v>
      </x:c>
      <x:c r="O8" s="93" t="n">
        <x:v>7</x:v>
      </x:c>
      <x:c r="P8" s="93" t="str">
        <x:v>Brief hazır</x:v>
      </x:c>
      <x:c r="Q8" s="93" t="n">
        <x:f>LEN(Import_Brief!D8)</x:f>
        <x:v>39</x:v>
      </x:c>
      <x:c r="R8" s="93" t="n">
        <x:f>LEN(Import_Brief!E8)</x:f>
        <x:v>152</x:v>
      </x:c>
      <x:c r="S8" s="93" t="str">
        <x:f>IF(AND(Q8&lt;=60,R8&gt;=150,R8&lt;=160),"OK","Düzelt")</x:f>
        <x:v>OK</x:v>
      </x:c>
    </x:row>
    <x:row r="9" ht="110" customHeight="1">
      <x:c r="A9" s="93" t="n">
        <x:v>8</x:v>
      </x:c>
      <x:c r="B9" s="89" t="str">
        <x:v>Ölçüm ve raporlama</x:v>
      </x:c>
      <x:c r="C9" s="89" t="str">
        <x:v>Değerlendirme</x:v>
      </x:c>
      <x:c r="D9" s="89" t="str">
        <x:v>Ajans hesap yöneticileri, CMO’lar, SEO raporlama ekipleri</x:v>
      </x:c>
      <x:c r="E9" s="89" t="str">
        <x:v>Contact Studios How-To — ürün tie-in</x:v>
      </x:c>
      <x:c r="F9" s="89" t="str">
        <x:v>ai-gorunurluk-raporu</x:v>
      </x:c>
      <x:c r="G9" s="89" t="str">
        <x:v>AI görünürlük raporu</x:v>
      </x:c>
      <x:c r="H9" s="89" t="str">
        <x:v>ChatGPT görünürlük raporu, AI visibility report, GEO raporu, LLM raporlama, AI share of voice raporu, AI citation report, AI rakip raporu, prompt performance report, AI visibility dashboard, ajans AI raporu, AI KPI şablonu, marka görünürlük raporu</x:v>
      </x:c>
      <x:c r="I9" s="89" t="str">
        <x:v>İndirilebilir olmadan da yazı içinde kopyalanabilir 1 sayfalık yönetici özeti ve 12 sütunlu veri sözlüğü verin; örnek raporu gerçek 20 promptluk mini taramayla doldurun.</x:v>
      </x:c>
      <x:c r="J9" s="89" t="str">
        <x:v>Rakip içerikler metrikleri anlatıyor fakat karar vericinin okuyabileceği rapor yapısı vermiyor. Yazı KPI + değişiklik günlüğü + aksiyon sahibi + son tarih içermeli.</x:v>
      </x:c>
      <x:c r="K9" s="89" t="str">
        <x:v>/ai-gorunurluk-skoru/ — “AI görünürlük skoru”
/ai-arama-rakip-analizi/ — “AI rakip analizi”</x:v>
      </x:c>
      <x:c r="L9" s="89" t="str">
        <x:v>ai-gorunurluk-raporu-kapak.webp | AI görünürlük raporu ve KPI dashboard kapak görseli
ai-rapor-yonetici-ozeti.webp | Tek sayfalık AI görünürlük yönetici özeti
ai-kpi-veri-sozlugu.webp | AI görünürlük KPI veri sözlüğü tablosu
ai-aksiyon-plani.webp | Sahip tarih etki ve efor içeren aksiyon planı</x:v>
      </x:c>
      <x:c r="M9" s="89" t="str">
        <x:v>https://rankprompt.com/
https://rankprompt.com/developers/</x:v>
      </x:c>
      <x:c r="N9" s="89" t="str">
        <x:v>Tam eşleşen içerik bulunmadı.</x:v>
      </x:c>
      <x:c r="O9" s="93" t="n">
        <x:v>8</x:v>
      </x:c>
      <x:c r="P9" s="93" t="str">
        <x:v>Brief hazır</x:v>
      </x:c>
      <x:c r="Q9" s="93" t="n">
        <x:f>LEN(Import_Brief!D9)</x:f>
        <x:v>38</x:v>
      </x:c>
      <x:c r="R9" s="93" t="n">
        <x:f>LEN(Import_Brief!E9)</x:f>
        <x:v>153</x:v>
      </x:c>
      <x:c r="S9" s="93" t="str">
        <x:f>IF(AND(Q9&lt;=60,R9&gt;=150,R9&lt;=160),"OK","Düzelt")</x:f>
        <x:v>OK</x:v>
      </x:c>
    </x:row>
    <x:row r="10" ht="110" customHeight="1">
      <x:c r="A10" s="93" t="n">
        <x:v>9</x:v>
      </x:c>
      <x:c r="B10" s="89" t="str">
        <x:v>Optimizasyon</x:v>
      </x:c>
      <x:c r="C10" s="89" t="str">
        <x:v>Farkındalık</x:v>
      </x:c>
      <x:c r="D10" s="89" t="str">
        <x:v>Kurucular, marka ve içerik ekipleri, SEO uzmanları</x:v>
      </x:c>
      <x:c r="E10" s="89" t="str">
        <x:v>HubSpot List Post</x:v>
      </x:c>
      <x:c r="F10" s="89" t="str">
        <x:v>chatgpt-markami-neden-onermiyor</x:v>
      </x:c>
      <x:c r="G10" s="89" t="str">
        <x:v>ChatGPT markamı neden önermiyor</x:v>
      </x:c>
      <x:c r="H10" s="89" t="str">
        <x:v>ChatGPT markamı göstermiyor, ChatGPT markamı bilmiyor, ChatGPT marka önerisi, AI marka görünmezliği, ChatGPT citation eksikliği, AI crawler engeli, marka entity sinyalleri, ChatGPT yanlış bilgi, GEO sorunları, AI görünürlük düşüklüğü, LLM marka algısı, ChatGPT önerilme</x:v>
      </x:c>
      <x:c r="I10" s="89" t="str">
        <x:v>Dokuz neden için bir tanı ağacı hazırlayın ve gerçek bir siteyi robots, entity bilgisi, içerik kapsamı, üçüncü taraf mention ve 20 prompt baseline üzerinden anonimleştirerek test edin.</x:v>
      </x:c>
      <x:c r="J10" s="89" t="str">
        <x:v>Mevcut içerikler genellikle 'daha çok içerik yazın' diyor. Bu yazı teknik erişim, entity tutarlılığı, kategori kanıtı, üçüncü taraf kaynak ve prompt uyumsuzluğunu ayrı teşhis etmeli.</x:v>
      </x:c>
      <x:c r="K10" s="89" t="str">
        <x:v>/chatgpt-marka-gorunurlugu-olcme/ — “ChatGPT marka görünürlüğünü ölçme”
/oai-searchbot-gptbot-robots-txt/ — “OAI-SearchBot robots.txt ayarı”</x:v>
      </x:c>
      <x:c r="L10" s="89" t="str">
        <x:v>chatgpt-markami-onermiyor-kapak.webp | ChatGPT yanıtında görünmeyen bir markayı gösteren kapak
chatgpt-gorunmezlik-tani-agaci.webp | ChatGPT marka görünmezliği tanı ağacı
robots-ai-crawler-kontrolu.webp | AI crawler robots.txt kontrol örneği
90-dakika-ai-audit.webp | 90 dakikalık AI görünürlük tanı kontrol listesi</x:v>
      </x:c>
      <x:c r="M10" s="89" t="str">
        <x:v>https://help.openai.com/en/articles/12627856-publishers-and-developers-faq
https://developers.google.com/search/docs/appearance/ai-features
https://developers.google.com/search/docs/fundamentals/creating-helpful-content</x:v>
      </x:c>
      <x:c r="N10" s="89" t="str">
        <x:v>Tam eşleşen içerik bulunmadı.</x:v>
      </x:c>
      <x:c r="O10" s="93" t="n">
        <x:v>9</x:v>
      </x:c>
      <x:c r="P10" s="93" t="str">
        <x:v>Brief hazır</x:v>
      </x:c>
      <x:c r="Q10" s="93" t="n">
        <x:f>LEN(Import_Brief!D10)</x:f>
        <x:v>34</x:v>
      </x:c>
      <x:c r="R10" s="93" t="n">
        <x:f>LEN(Import_Brief!E10)</x:f>
        <x:v>156</x:v>
      </x:c>
      <x:c r="S10" s="93" t="str">
        <x:f>IF(AND(Q10&lt;=60,R10&gt;=150,R10&lt;=160),"OK","Düzelt")</x:f>
        <x:v>OK</x:v>
      </x:c>
    </x:row>
    <x:row r="11" ht="110" customHeight="1">
      <x:c r="A11" s="93" t="n">
        <x:v>10</x:v>
      </x:c>
      <x:c r="B11" s="89" t="str">
        <x:v>Optimizasyon</x:v>
      </x:c>
      <x:c r="C11" s="89" t="str">
        <x:v>Farkındalık</x:v>
      </x:c>
      <x:c r="D11" s="89" t="str">
        <x:v>İçerik ekipleri, SEO editörleri, SaaS pazarlamacıları</x:v>
      </x:c>
      <x:c r="E11" s="89" t="str">
        <x:v>Contact Studios How-To — ürün tie-in</x:v>
      </x:c>
      <x:c r="F11" s="89" t="str">
        <x:v>ai-arama-icerik-optimizasyonu</x:v>
      </x:c>
      <x:c r="G11" s="89" t="str">
        <x:v>AI arama için içerik optimizasyonu</x:v>
      </x:c>
      <x:c r="H11" s="89" t="str">
        <x:v>ChatGPT için içerik optimizasyonu, GEO içerik stratejisi, AEO içerik optimizasyonu, AI dostu içerik, LLM citation content, AI search content, AI cevaplarına uygun içerik, people-first content, özgün veri SEO, entity odaklı içerik, AI content audit, generative search optimization</x:v>
      </x:c>
      <x:c r="I11" s="89" t="str">
        <x:v>Ortak Alan’daki mevcut bir yazıyı önce/sonra formatında yeniden düzenleyin; ilk 20 prompt baseline’ı, yapılan değişiklikleri ve 30 gün sonraki yeniden taramayı yayınlayın. Sonuç çıkmazsa bunu da açıkça yazın.</x:v>
      </x:c>
      <x:c r="J11" s="89" t="str">
        <x:v>Rakip rehberler kısa cevap ve FAQ’yu aşırı vurguluyor. Google’ın resmi rehberine uygun biçimde özgün, people-first içerik, teknik erişilebilirlik ve ölçüm döngüsünü merkeze alın.</x:v>
      </x:c>
      <x:c r="K11" s="89" t="str">
        <x:v>/aeo-geo-seo-farki/ — “GEO ve SEO farkı”
/llm-gorunurluk-takibi/ — “prompt bazlı görünürlük takibi”</x:v>
      </x:c>
      <x:c r="L11" s="89" t="str">
        <x:v>ai-arama-icerik-optimizasyonu-kapak.webp | AI arama için içerik optimizasyonu sürecini gösteren kapak
ai-icerik-once-sonra.webp | AI görünürlük için içerik önce ve sonra karşılaştırması
people-first-content-checklist.webp | People-first ve özgün içerik kontrol listesi
prompt-bazli-olcum.webp | İçerik değişikliği sonrası prompt bazlı ölçüm grafiği</x:v>
      </x:c>
      <x:c r="M11" s="89" t="str">
        <x:v>https://developers.google.com/search/docs/fundamentals/ai-optimization-guide
https://developers.google.com/search/docs/fundamentals/using-gen-ai-content
https://developers.google.com/search/docs/fundamentals/creating-helpful-content</x:v>
      </x:c>
      <x:c r="N11" s="89" t="str">
        <x:v>DexterGPT yazısında içerik optimizasyonu kısa geçiyor; bu başlıkta bağımsız kapsamlı rehber bulunmadı.</x:v>
      </x:c>
      <x:c r="O11" s="93" t="n">
        <x:v>10</x:v>
      </x:c>
      <x:c r="P11" s="93" t="str">
        <x:v>Brief hazır</x:v>
      </x:c>
      <x:c r="Q11" s="93" t="n">
        <x:f>LEN(Import_Brief!D11)</x:f>
        <x:v>34</x:v>
      </x:c>
      <x:c r="R11" s="93" t="n">
        <x:f>LEN(Import_Brief!E11)</x:f>
        <x:v>150</x:v>
      </x:c>
      <x:c r="S11" s="93" t="str">
        <x:f>IF(AND(Q11&lt;=60,R11&gt;=150,R11&lt;=160),"OK","Düzelt")</x:f>
        <x:v>OK</x:v>
      </x:c>
    </x:row>
    <x:row r="12" ht="110" customHeight="1">
      <x:c r="A12" s="93" t="n">
        <x:v>11</x:v>
      </x:c>
      <x:c r="B12" s="89" t="str">
        <x:v>Optimizasyon</x:v>
      </x:c>
      <x:c r="C12" s="89" t="str">
        <x:v>Farkındalık</x:v>
      </x:c>
      <x:c r="D12" s="89" t="str">
        <x:v>PR, içerik, SEO ve marka iletişimi ekipleri</x:v>
      </x:c>
      <x:c r="E12" s="89" t="str">
        <x:v>HubSpot List Post</x:v>
      </x:c>
      <x:c r="F12" s="89" t="str">
        <x:v>ai-yanitlarinda-kaynak-gosterilmek</x:v>
      </x:c>
      <x:c r="G12" s="89" t="str">
        <x:v>yapay zeka yanıtlarında kaynak gösterilmek</x:v>
      </x:c>
      <x:c r="H12" s="89" t="str">
        <x:v>AI citation nasıl alınır, ChatGPT kaynak gösterme, Perplexity citation, AI kaynak görünürlüğü, LLM citation tracking, AI referansları, GEO citation strategy, otoriter kaynak oluşturma, özgün veri içeriği, AI citation outreach, ChatGPT link görünürlüğü, AI search citations</x:v>
      </x:c>
      <x:c r="I12" s="89" t="str">
        <x:v>Bir sektörde 100 citation URL’sini örnekleyip kaynak türü, içerik formatı, güncellik, özgün veri ve domain türüne göre kodlayın; en sık görülen desenleri tabloya ekleyin.</x:v>
      </x:c>
      <x:c r="J12" s="89" t="str">
        <x:v>Birçok yazı backlink tavsiyesi veriyor ama AI yanıtında mention ile citation’ı ayırmıyor. Yazı erişilebilir, kanıtlanabilir ve etik citation kazanma sürecini göstermeli.</x:v>
      </x:c>
      <x:c r="K12" s="89" t="str">
        <x:v>/ai-arama-rakip-analizi/ — “rakip citation boşluğu”
/ai-arama-icerik-optimizasyonu/ — “özgün içerik optimizasyonu”</x:v>
      </x:c>
      <x:c r="L12" s="89" t="str">
        <x:v>ai-citation-taktikleri-kapak.webp | AI yanıtlarında kaynak gösterilen web sayfalarını anlatan kapak
ai-citation-turleri.webp | Mention ve citation farkını gösteren diyagram
100-citation-analizi.webp | 100 AI citation URL analiz tablosu
etik-citation-yol-haritasi.webp | Etik AI citation kazanma yol haritası</x:v>
      </x:c>
      <x:c r="M12" s="89" t="str">
        <x:v>https://rankprompt.com/
https://developers.google.com/search/docs/fundamentals/ai-optimization-guide
https://developers.google.com/search/docs/fundamentals/creating-helpful-content</x:v>
      </x:c>
      <x:c r="N12" s="89" t="str">
        <x:v>Tam eşleşen içerik bulunmadı.</x:v>
      </x:c>
      <x:c r="O12" s="93" t="n">
        <x:v>11</x:v>
      </x:c>
      <x:c r="P12" s="93" t="str">
        <x:v>Brief hazır</x:v>
      </x:c>
      <x:c r="Q12" s="93" t="n">
        <x:f>LEN(Import_Brief!D12)</x:f>
        <x:v>44</x:v>
      </x:c>
      <x:c r="R12" s="93" t="n">
        <x:f>LEN(Import_Brief!E12)</x:f>
        <x:v>155</x:v>
      </x:c>
      <x:c r="S12" s="93" t="str">
        <x:f>IF(AND(Q12&lt;=60,R12&gt;=150,R12&lt;=160),"OK","Düzelt")</x:f>
        <x:v>OK</x:v>
      </x:c>
    </x:row>
    <x:row r="13" ht="110" customHeight="1">
      <x:c r="A13" s="93" t="n">
        <x:v>12</x:v>
      </x:c>
      <x:c r="B13" s="89" t="str">
        <x:v>Optimizasyon</x:v>
      </x:c>
      <x:c r="C13" s="89" t="str">
        <x:v>Farkındalık</x:v>
      </x:c>
      <x:c r="D13" s="89" t="str">
        <x:v>Teknik SEO uzmanları, geliştiriciler, içerik operasyon ekipleri</x:v>
      </x:c>
      <x:c r="E13" s="89" t="str">
        <x:v>Contact Studios How-To — ürün tie-in</x:v>
      </x:c>
      <x:c r="F13" s="89" t="str">
        <x:v>ai-arama-schema-markup</x:v>
      </x:c>
      <x:c r="G13" s="89" t="str">
        <x:v>AI arama schema markup</x:v>
      </x:c>
      <x:c r="H13" s="89" t="str">
        <x:v>GEO schema markup, AEO schema, AI için structured data, Article schema, Organization schema, Product schema, LocalBusiness schema, JSON-LD SEO, schema AI görünürlük, ChatGPT schema markup, structured data rehberi, AI search technical SEO</x:v>
      </x:c>
      <x:c r="I13" s="89" t="str">
        <x:v>Ortak Alan’daki bir makalenin mevcut structured data çıktısını Rich Results Test ile denetleyin; hataları, önerilen alanları ve düzeltme sonrası sonucu ekran görüntüsüyle yayınlayın.</x:v>
      </x:c>
      <x:c r="J13" s="89" t="str">
        <x:v>Rakip içerikler schema’yı AI görünürlük garantisi gibi sunabiliyor. Yazı Google’ın resmi açıklamasına dayanarak schema’nın anlamlandırma/rich result katkısını ve sınırını netleştirmeli.</x:v>
      </x:c>
      <x:c r="K13" s="89" t="str">
        <x:v>/ai-arama-icerik-optimizasyonu/ — “AI arama için içerik optimizasyonu”
https://ortakalan.io/dextergpt-nedir/ — “teknik SEO otomasyonu”</x:v>
      </x:c>
      <x:c r="L13" s="89" t="str">
        <x:v>ai-arama-schema-markup-kapak.webp | AI arama ve JSON-LD structured data kapak görseli
schema-turleri-tablosu.webp | Organization Article Product ve LocalBusiness schema tablosu
rich-results-test-ornegi.webp | Rich Results Test structured data doğrulama ekranı
schema-mitleri.webp | AI arama için schema markup mitleri ve gerçekler</x:v>
      </x:c>
      <x:c r="M13" s="89" t="str">
        <x:v>https://developers.google.com/search/docs/appearance/structured-data/intro-structured-data
https://developers.google.com/search/docs/appearance/structured-data/sd-policies
https://developers.google.com/search/docs/appearance/structured-data/article
https://developers.google.com/search/docs/appearance/structured-data/organization</x:v>
      </x:c>
      <x:c r="N13" s="89" t="str">
        <x:v>DexterGPT yazısında schema kısa geçiyor; bağımsız uygulama rehberi bulunmadı.</x:v>
      </x:c>
      <x:c r="O13" s="93" t="n">
        <x:v>12</x:v>
      </x:c>
      <x:c r="P13" s="93" t="str">
        <x:v>Brief hazır</x:v>
      </x:c>
      <x:c r="Q13" s="93" t="n">
        <x:f>LEN(Import_Brief!D13)</x:f>
        <x:v>35</x:v>
      </x:c>
      <x:c r="R13" s="93" t="n">
        <x:f>LEN(Import_Brief!E13)</x:f>
        <x:v>156</x:v>
      </x:c>
      <x:c r="S13" s="93" t="str">
        <x:f>IF(AND(Q13&lt;=60,R13&gt;=150,R13&lt;=160),"OK","Düzelt")</x:f>
        <x:v>OK</x:v>
      </x:c>
    </x:row>
    <x:row r="14" ht="110" customHeight="1">
      <x:c r="A14" s="93" t="n">
        <x:v>13</x:v>
      </x:c>
      <x:c r="B14" s="89" t="str">
        <x:v>Optimizasyon</x:v>
      </x:c>
      <x:c r="C14" s="89" t="str">
        <x:v>Farkındalık</x:v>
      </x:c>
      <x:c r="D14" s="89" t="str">
        <x:v>Teknik SEO uzmanları, web geliştiricileri, site sahipleri</x:v>
      </x:c>
      <x:c r="E14" s="89" t="str">
        <x:v>Contact Studios How-To — ürün tie-in</x:v>
      </x:c>
      <x:c r="F14" s="89" t="str">
        <x:v>oai-searchbot-gptbot-robots-txt</x:v>
      </x:c>
      <x:c r="G14" s="89" t="str">
        <x:v>OAI-SearchBot robots.txt</x:v>
      </x:c>
      <x:c r="H14" s="89" t="str">
        <x:v>GPTBot robots.txt, PerplexityBot robots.txt, AI crawler robots.txt, ChatGPT search crawler, OAI SearchBot allow, AI bot engelleme, GPTBot ve OAI-SearchBot farkı, Perplexity crawler, robots.txt AI görünürlük, ChatGPT site erişimi, AI crawler audit, noindex ChatGPT</x:v>
      </x:c>
      <x:c r="I14" s="89" t="str">
        <x:v>Ortak Alan’ın robots.txt dosyasını yayın tarihinde canlı kontrol edin; user-agent kurallarını tabloya dökün, olası çakışmaları ve düzeltme önerilerini gerçek çıktı olarak ekleyin.</x:v>
      </x:c>
      <x:c r="J14" s="89" t="str">
        <x:v>Çoğu rehber eğitim botu ile arama botunu karıştırıyor. Yazı OAI-SearchBot, GPTBot ve PerplexityBot amaçlarını resmi kaynaklarla ayırmalı ve gizlilik/görünürlük karar matrisi vermeli.</x:v>
      </x:c>
      <x:c r="K14" s="89" t="str">
        <x:v>/chatgpt-markami-neden-onermiyor/ — “ChatGPT görünmezliği nedenleri”
/ai-arama-schema-markup/ — “AI arama teknik SEO”</x:v>
      </x:c>
      <x:c r="L14" s="89" t="str">
        <x:v>ai-crawler-robots-txt-kapak.webp | OAI-SearchBot GPTBot ve PerplexityBot robots.txt kapak görseli
ai-bot-karsilastirma.webp | AI crawler user-agent karşılaştırma tablosu
robots-txt-ornekleri.webp | OAI-SearchBot ve GPTBot için robots.txt örnekleri
ai-crawler-audit.webp | AI crawler erişim denetimi kontrol listesi</x:v>
      </x:c>
      <x:c r="M14" s="89" t="str">
        <x:v>https://help.openai.com/en/articles/12627856-publishers-and-developers-faq
https://docs.perplexity.ai/docs/resources/perplexity-crawlers
https://developers.google.com/search/docs/crawling-indexing/robots-meta-tag</x:v>
      </x:c>
      <x:c r="N14" s="89" t="str">
        <x:v>Tam eşleşen AI crawler/robots.txt rehberi bulunmadı.</x:v>
      </x:c>
      <x:c r="O14" s="93" t="n">
        <x:v>13</x:v>
      </x:c>
      <x:c r="P14" s="93" t="str">
        <x:v>Brief hazır</x:v>
      </x:c>
      <x:c r="Q14" s="93" t="n">
        <x:f>LEN(Import_Brief!D14)</x:f>
        <x:v>42</x:v>
      </x:c>
      <x:c r="R14" s="93" t="n">
        <x:f>LEN(Import_Brief!E14)</x:f>
        <x:v>156</x:v>
      </x:c>
      <x:c r="S14" s="93" t="str">
        <x:f>IF(AND(Q14&lt;=60,R14&gt;=150,R14&lt;=160),"OK","Düzelt")</x:f>
        <x:v>OK</x:v>
      </x:c>
    </x:row>
    <x:row r="15" ht="110" customHeight="1">
      <x:c r="A15" s="93" t="n">
        <x:v>14</x:v>
      </x:c>
      <x:c r="B15" s="89" t="str">
        <x:v>Ölçüm ve raporlama</x:v>
      </x:c>
      <x:c r="C15" s="89" t="str">
        <x:v>Değerlendirme</x:v>
      </x:c>
      <x:c r="D15" s="89" t="str">
        <x:v>Growth analistleri, içerik yöneticileri, SEO ve BI ekipleri</x:v>
      </x:c>
      <x:c r="E15" s="89" t="str">
        <x:v>Contact Studios How-To — ürün tie-in</x:v>
      </x:c>
      <x:c r="F15" s="89" t="str">
        <x:v>chatgpt-trafigi-ga4</x:v>
      </x:c>
      <x:c r="G15" s="89" t="str">
        <x:v>ChatGPT trafiği GA4</x:v>
      </x:c>
      <x:c r="H15" s="89" t="str">
        <x:v>ChatGPT referral traffic, chatgpt.com GA4, utm_source chatgpt.com, AI referral traffic, ChatGPT trafik ölçümü, GA4 session source medium, AI traffic analytics, ChatGPT landing page, Perplexity referral GA4, AI dönüşüm takibi, GA4 custom channel group, LLM trafik raporu</x:v>
      </x:c>
      <x:c r="I15" s="89" t="str">
        <x:v>Ortak Alan GA4 verisinde son 90 günü inceleyin; chatgpt.com kaynaklı oturum, landing page, engagement ve dönüşüm verilerini anonimleştirilmiş ekran görüntüsü ve tarih aralığıyla yayınlayın. Veri yoksa '0' bulgusunu da paylaşın.</x:v>
      </x:c>
      <x:c r="J15" s="89" t="str">
        <x:v>Birçok rehber yalnızca referral filtresi gösteriyor. Yazı OpenAI’nin otomatik utm_source bilgisini, session source/medium, landing page ve dönüşüm analizini tek akışta anlatmalı.</x:v>
      </x:c>
      <x:c r="K15" s="89" t="str">
        <x:v>/ai-gorunurluk-raporu/ — “AI görünürlük raporu”
/chatgpt-marka-gorunurlugu-olcme/ — “ChatGPT görünürlük ölçümü”</x:v>
      </x:c>
      <x:c r="L15" s="89" t="str">
        <x:v>chatgpt-trafigi-ga4-kapak.webp | GA4 üzerinde ChatGPT referral trafiğini gösteren kapak
ga4-session-source-medium.webp | GA4 session source medium filtresi örneği
chatgpt-landing-page-raporu.webp | ChatGPT kaynaklı landing page raporu
ai-traffic-dashboard.webp | AI referral trafik ve dönüşüm dashboard örneği</x:v>
      </x:c>
      <x:c r="M15" s="89" t="str">
        <x:v>https://help.openai.com/en/articles/12627856-publishers-and-developers-faq
https://support.google.com/analytics/answer/12923437
https://support.google.com/analytics/answer/12931766
https://support.google.com/analytics/answer/11242870</x:v>
      </x:c>
      <x:c r="N15" s="89" t="str">
        <x:v>Tam eşleşen içerik bulunmadı.</x:v>
      </x:c>
      <x:c r="O15" s="93" t="n">
        <x:v>14</x:v>
      </x:c>
      <x:c r="P15" s="93" t="str">
        <x:v>Brief hazır</x:v>
      </x:c>
      <x:c r="Q15" s="93" t="n">
        <x:f>LEN(Import_Brief!D15)</x:f>
        <x:v>37</x:v>
      </x:c>
      <x:c r="R15" s="93" t="n">
        <x:f>LEN(Import_Brief!E15)</x:f>
        <x:v>151</x:v>
      </x:c>
      <x:c r="S15" s="93" t="str">
        <x:f>IF(AND(Q15&lt;=60,R15&gt;=150,R15&lt;=160),"OK","Düzelt")</x:f>
        <x:v>OK</x:v>
      </x:c>
    </x:row>
    <x:row r="16" ht="110" customHeight="1">
      <x:c r="A16" s="93" t="n">
        <x:v>15</x:v>
      </x:c>
      <x:c r="B16" s="89" t="str">
        <x:v>Ölçüm ve raporlama</x:v>
      </x:c>
      <x:c r="C16" s="89" t="str">
        <x:v>Değerlendirme</x:v>
      </x:c>
      <x:c r="D16" s="89" t="str">
        <x:v>SEO ekipleri, yayıncılar, e-ticaret ve içerik yöneticileri</x:v>
      </x:c>
      <x:c r="E16" s="89" t="str">
        <x:v>Contact Studios How-To — ürün tie-in</x:v>
      </x:c>
      <x:c r="F16" s="89" t="str">
        <x:v>google-ai-overviews-gorunurluk</x:v>
      </x:c>
      <x:c r="G16" s="89" t="str">
        <x:v>Google AI Overviews görünürlük takibi</x:v>
      </x:c>
      <x:c r="H16" s="89" t="str">
        <x:v>AI Overviews tracking, Google AI Mode görünürlüğü, AI Overview citation, Google generative search SEO, Search Console AI performance, AI Mode kaynak takibi, Google AI görünürlük, AI Overview ölçümü, query fan-out SEO, Google generative AI report, AI Overviews trafik, Google AI citation</x:v>
      </x:c>
      <x:c r="I16" s="89" t="str">
        <x:v>20 bilgi ve ticari sorguda AI Overview/AI Mode varlığı, Ortak Alan veya örnek sitenin citation olup olmadığı ve klasik organik pozisyonu aynı tabloda karşılaştırın.</x:v>
      </x:c>
      <x:c r="J16" s="89" t="str">
        <x:v>Rehberler çoğu zaman özel 'GEO hack' öneriyor. Yazı Google’ın resmi olarak temel SEO uygulamalarını, people-first içeriği ve teknik uygunluğu vurguladığını açıkça anlatmalı.</x:v>
      </x:c>
      <x:c r="K16" s="89" t="str">
        <x:v>/aeo-geo-seo-farki/ — “GEO ve SEO farkı”
/ai-arama-icerik-optimizasyonu/ — “AI arama içerik optimizasyonu”</x:v>
      </x:c>
      <x:c r="L16" s="89" t="str">
        <x:v>google-ai-overviews-kapak.webp | Google AI Overviews ve AI Mode görünürlük takibi kapak görseli
query-fan-out.webp | Google query fan-out sürecini anlatan diyagram
ai-overview-kaynak-tablosu.webp | AI Overview kaynak ve organik sıra karşılaştırma tablosu
google-ai-mitleri.webp | Google generative AI arama mitleri ve gerçekler</x:v>
      </x:c>
      <x:c r="M16" s="89" t="str">
        <x:v>https://developers.google.com/search/docs/appearance/ai-features
https://developers.google.com/search/docs/fundamentals/ai-optimization-guide
https://developers.google.com/search/docs/fundamentals/third-party-seo</x:v>
      </x:c>
      <x:c r="N16" s="89" t="str">
        <x:v>DexterGPT yazısında AI Overviews kısa anılıyor; bağımsız ölçüm rehberi bulunmadı.</x:v>
      </x:c>
      <x:c r="O16" s="93" t="n">
        <x:v>15</x:v>
      </x:c>
      <x:c r="P16" s="93" t="str">
        <x:v>Brief hazır</x:v>
      </x:c>
      <x:c r="Q16" s="93" t="n">
        <x:f>LEN(Import_Brief!D16)</x:f>
        <x:v>46</x:v>
      </x:c>
      <x:c r="R16" s="93" t="n">
        <x:f>LEN(Import_Brief!E16)</x:f>
        <x:v>160</x:v>
      </x:c>
      <x:c r="S16" s="93" t="str">
        <x:f>IF(AND(Q16&lt;=60,R16&gt;=150,R16&lt;=160),"OK","Düzelt")</x:f>
        <x:v>OK</x:v>
      </x:c>
    </x:row>
    <x:row r="17" ht="110" customHeight="1">
      <x:c r="A17" s="93" t="n">
        <x:v>16</x:v>
      </x:c>
      <x:c r="B17" s="89" t="str">
        <x:v>Sektörel kullanım</x:v>
      </x:c>
      <x:c r="C17" s="89" t="str">
        <x:v>Değerlendirme</x:v>
      </x:c>
      <x:c r="D17" s="89" t="str">
        <x:v>B2B SaaS kurucuları, growth ve içerik ekipleri</x:v>
      </x:c>
      <x:c r="E17" s="89" t="str">
        <x:v>Contact Studios How-To — ürün tie-in</x:v>
      </x:c>
      <x:c r="F17" s="89" t="str">
        <x:v>saas-geo-stratejisi</x:v>
      </x:c>
      <x:c r="G17" s="89" t="str">
        <x:v>SaaS GEO stratejisi</x:v>
      </x:c>
      <x:c r="H17" s="89" t="str">
        <x:v>SaaS AI görünürlük, B2B SaaS GEO, ChatGPT SaaS önerileri, SaaS AEO stratejisi, SaaS content strategy AI, SaaS citation building, SaaS competitor prompts, AI search for SaaS, SaaS brand visibility, GEO roadmap, LLM SaaS marketing, AI discovery SaaS</x:v>
      </x:c>
      <x:c r="I17" s="89" t="str">
        <x:v>Bir SaaS için 50 promptu problem, kategori, alternatif, karşılaştırma ve satın alma niyetine göre sınıflandırın; 90 günlük planın başında ve sonunda görünürlük farkını yayınlayın.</x:v>
      </x:c>
      <x:c r="J17" s="89" t="str">
        <x:v>Genel GEO rehberleri SaaS satın alma yolculuğunu, alternatif/comparison sorgularını, integration ve use-case sayfalarını yeterince işlemiyor.</x:v>
      </x:c>
      <x:c r="K17" s="89" t="str">
        <x:v>https://ortakalan.io/saas-bridge-nedir/ — “SaaS ekosistemi”
/ai-arama-rakip-analizi/ — “AI rakip analizi”
/rank-prompt-nedir/ — “SaaS için AI görünürlük aracı”</x:v>
      </x:c>
      <x:c r="L17" s="89" t="str">
        <x:v>saas-geo-stratejisi-kapak.webp | B2B SaaS için 90 günlük GEO stratejisi kapak görseli
saas-prompt-haritasi.webp | SaaS satın alma yolculuğuna göre prompt haritası
90-gun-saas-geo.webp | 90 günlük SaaS GEO uygulama takvimi
saas-geo-kpi.webp | SaaS GEO KPI dashboard örneği</x:v>
      </x:c>
      <x:c r="M17" s="89" t="str">
        <x:v>https://developers.google.com/search/docs/fundamentals/ai-optimization-guide
https://rankprompt.com/</x:v>
      </x:c>
      <x:c r="N17" s="89" t="str">
        <x:v>SaaS Bridge yazısı topluluk odağında; SaaS GEO stratejisi için tam eşleşen içerik bulunmadı.</x:v>
      </x:c>
      <x:c r="O17" s="93" t="n">
        <x:v>16</x:v>
      </x:c>
      <x:c r="P17" s="93" t="str">
        <x:v>Brief hazır</x:v>
      </x:c>
      <x:c r="Q17" s="93" t="n">
        <x:f>LEN(Import_Brief!D17)</x:f>
        <x:v>35</x:v>
      </x:c>
      <x:c r="R17" s="93" t="n">
        <x:f>LEN(Import_Brief!E17)</x:f>
        <x:v>150</x:v>
      </x:c>
      <x:c r="S17" s="93" t="str">
        <x:f>IF(AND(Q17&lt;=60,R17&gt;=150,R17&lt;=160),"OK","Düzelt")</x:f>
        <x:v>OK</x:v>
      </x:c>
    </x:row>
    <x:row r="18" ht="110" customHeight="1">
      <x:c r="A18" s="93" t="n">
        <x:v>17</x:v>
      </x:c>
      <x:c r="B18" s="89" t="str">
        <x:v>Sektörel kullanım</x:v>
      </x:c>
      <x:c r="C18" s="89" t="str">
        <x:v>Değerlendirme</x:v>
      </x:c>
      <x:c r="D18" s="89" t="str">
        <x:v>E-ticaret yöneticileri, SEO ve ürün feed ekipleri</x:v>
      </x:c>
      <x:c r="E18" s="89" t="str">
        <x:v>Contact Studios How-To — ürün tie-in</x:v>
      </x:c>
      <x:c r="F18" s="89" t="str">
        <x:v>e-ticaret-ai-gorunurluk</x:v>
      </x:c>
      <x:c r="G18" s="89" t="str">
        <x:v>e-ticaret AI görünürlük</x:v>
      </x:c>
      <x:c r="H18" s="89" t="str">
        <x:v>ChatGPT ürün görünürlüğü, ecommerce GEO, AI shopping visibility, Product schema AI, Merchant Center AI, AI ürün önerileri, e-ticaret citation, AI search ecommerce, ürün feed optimizasyonu, AI marka görünürlüğü e-ticaret, generative shopping SEO, AI product discovery</x:v>
      </x:c>
      <x:c r="I18" s="89" t="str">
        <x:v>10 kategori ve 30 ürün keşif promptunda marka/ürün görünürlüğünü test edin; ürün verisi eksikliği, citation ve içerik türü ile sonuçları eşleştiren özgün tablo yayınlayın.</x:v>
      </x:c>
      <x:c r="J18" s="89" t="str">
        <x:v>Genel AI görünürlük yazıları ürün feed, Merchant Center, Product/Offer schema, stok/fiyat güncelliği ve kategori/rehber içeriklerinin birlikte çalışmasını işlemiyor.</x:v>
      </x:c>
      <x:c r="K18" s="89" t="str">
        <x:v>/ai-arama-schema-markup/ — “Product schema ve structured data”
/chatgpt-trafigi-ga4/ — “AI referral trafiği ölçümü”</x:v>
      </x:c>
      <x:c r="L18" s="89" t="str">
        <x:v>e-ticaret-ai-gorunurluk-kapak.webp | E-ticaret ürünlerinin AI yanıtlarında görünürlüğünü anlatan kapak
urun-verisi-ai-gorunurluk.webp | Ürün feed schema içerik ve citation katmanları
e-ticaret-prompt-matrisi.webp | Kategori ve ürün keşif prompt matrisi
ai-shopping-kpi.webp | E-ticaret AI görünürlük KPI dashboard örneği</x:v>
      </x:c>
      <x:c r="M18" s="89" t="str">
        <x:v>https://developers.google.com/search/docs/fundamentals/ai-optimization-guide
https://developers.google.com/search/docs/appearance/structured-data/product
https://developers.google.com/search/docs/appearance/structured-data/merchant-listing
https://developers.google.com/search/docs/specialty/ecommerce/share-your-product-data-with-google</x:v>
      </x:c>
      <x:c r="N18" s="89" t="str">
        <x:v>Tam eşleşen e-ticaret AI görünürlük rehberi bulunmadı.</x:v>
      </x:c>
      <x:c r="O18" s="93" t="n">
        <x:v>17</x:v>
      </x:c>
      <x:c r="P18" s="93" t="str">
        <x:v>Brief hazır</x:v>
      </x:c>
      <x:c r="Q18" s="93" t="n">
        <x:f>LEN(Import_Brief!D18)</x:f>
        <x:v>36</x:v>
      </x:c>
      <x:c r="R18" s="93" t="n">
        <x:f>LEN(Import_Brief!E18)</x:f>
        <x:v>156</x:v>
      </x:c>
      <x:c r="S18" s="93" t="str">
        <x:f>IF(AND(Q18&lt;=60,R18&gt;=150,R18&lt;=160),"OK","Düzelt")</x:f>
        <x:v>OK</x:v>
      </x:c>
    </x:row>
    <x:row r="19" ht="110" customHeight="1">
      <x:c r="A19" s="93" t="n">
        <x:v>18</x:v>
      </x:c>
      <x:c r="B19" s="89" t="str">
        <x:v>Sektörel kullanım</x:v>
      </x:c>
      <x:c r="C19" s="89" t="str">
        <x:v>Değerlendirme</x:v>
      </x:c>
      <x:c r="D19" s="89" t="str">
        <x:v>Yerel işletme sahipleri, çok lokasyonlu markalar, yerel SEO ajansları</x:v>
      </x:c>
      <x:c r="E19" s="89" t="str">
        <x:v>Contact Studios How-To — ürün tie-in</x:v>
      </x:c>
      <x:c r="F19" s="89" t="str">
        <x:v>yerel-isletme-chatgpt-gorunurlugu</x:v>
      </x:c>
      <x:c r="G19" s="89" t="str">
        <x:v>yerel işletme ChatGPT görünürlüğü</x:v>
      </x:c>
      <x:c r="H19" s="89" t="str">
        <x:v>yerel AI görünürlük, ChatGPT yerel işletme önerileri, AI local SEO, GEO local business, Google Business Profile AI, LocalBusiness schema, konum bazlı AI arama, ChatGPT restoran önerisi, AI yerel citation, yerel marka mention, AI local prompts, çok lokasyonlu GEO</x:v>
      </x:c>
      <x:c r="I19" s="89" t="str">
        <x:v>Bir şehir ve kategori için 25 konum bazlı promptu farklı semt/niyet kombinasyonlarında test edin; Google Business Profile tutarlılığı ve üçüncü taraf kaynaklarla görünürlük ilişkisini tabloya ekleyin.</x:v>
      </x:c>
      <x:c r="J19" s="89" t="str">
        <x:v>Yerel SEO rehberleri Google Maps’e odaklanıyor; AI rehberleri ise lokasyon hassasiyeti, Business Profile, yerel citation ve semt bazlı promptları yeterince işlemiyor.</x:v>
      </x:c>
      <x:c r="K19" s="89" t="str">
        <x:v>/oai-searchbot-gptbot-robots-txt/ — “AI crawler erişimi”
/ai-arama-schema-markup/ — “LocalBusiness schema”</x:v>
      </x:c>
      <x:c r="L19" s="89" t="str">
        <x:v>yerel-isletme-chatgpt-kapak.webp | Şehir haritası üzerinde ChatGPT yerel işletme önerileri kapak görseli
yerel-ai-varliklari.webp | Business Profile site schema review ve citation diyagramı
konum-prompt-matrisi.webp | Şehir semt ve niyet bazlı yerel AI prompt matrisi
yerel-ai-dashboard.webp | Lokasyon bazlı AI görünürlük dashboard örneği</x:v>
      </x:c>
      <x:c r="M19" s="89" t="str">
        <x:v>https://developers.google.com/search/docs/fundamentals/ai-optimization-guide
https://developers.google.com/search/docs/appearance/structured-data/local-business
https://developers.google.com/search/docs/appearance/establish-business-details</x:v>
      </x:c>
      <x:c r="N19" s="89" t="str">
        <x:v>Tam eşleşen yerel işletme ChatGPT görünürlüğü içeriği bulunmadı.</x:v>
      </x:c>
      <x:c r="O19" s="93" t="n">
        <x:v>18</x:v>
      </x:c>
      <x:c r="P19" s="93" t="str">
        <x:v>Brief hazır</x:v>
      </x:c>
      <x:c r="Q19" s="93" t="n">
        <x:f>LEN(Import_Brief!D19)</x:f>
        <x:v>41</x:v>
      </x:c>
      <x:c r="R19" s="93" t="n">
        <x:f>LEN(Import_Brief!E19)</x:f>
        <x:v>154</x:v>
      </x:c>
      <x:c r="S19" s="93" t="str">
        <x:f>IF(AND(Q19&lt;=60,R19&gt;=150,R19&lt;=160),"OK","Düzelt")</x:f>
        <x:v>OK</x:v>
      </x:c>
    </x:row>
    <x:row r="20" ht="110" customHeight="1">
      <x:c r="A20" s="93" t="n">
        <x:v>19</x:v>
      </x:c>
      <x:c r="B20" s="89" t="str">
        <x:v>Sektörel kullanım</x:v>
      </x:c>
      <x:c r="C20" s="89" t="str">
        <x:v>Karar</x:v>
      </x:c>
      <x:c r="D20" s="89" t="str">
        <x:v>SEO ve dijital pazarlama ajansı sahipleri, danışmanlar</x:v>
      </x:c>
      <x:c r="E20" s="89" t="str">
        <x:v>Contact Studios How-To — ürün tie-in</x:v>
      </x:c>
      <x:c r="F20" s="89" t="str">
        <x:v>ajans-ai-gorunurluk-hizmeti</x:v>
      </x:c>
      <x:c r="G20" s="89" t="str">
        <x:v>ajans AI görünürlük hizmeti</x:v>
      </x:c>
      <x:c r="H20" s="89" t="str">
        <x:v>GEO ajans hizmeti, AI visibility service, AEO danışmanlığı, AI SEO ajansı, ChatGPT görünürlük hizmeti, GEO fiyatlandırma, AI audit hizmeti, ajans AI raporlama, LLM monitoring service, AI visibility retainer, GEO teklif şablonu, AI görünürlük müşteri raporu</x:v>
      </x:c>
      <x:c r="I20" s="89" t="str">
        <x:v>Üç paket için gerçek maliyet modeli oluşturun: prompt kredisi, uzman saati, raporlama, içerik ve outreach maliyeti. Kâr marjı formülünü örnek rakamlarla, ancak 'örnek' etiketiyle yayınlayın.</x:v>
      </x:c>
      <x:c r="J20" s="89" t="str">
        <x:v>Rakip içerikler hizmet fırsatını anlatıyor ama scope, teslimat, SLA, metodoloji, maliyet ve yanlış vaat riskini detaylandırmıyor.</x:v>
      </x:c>
      <x:c r="K20" s="89" t="str">
        <x:v>/ai-gorunurluk-raporu/ — “müşteri AI görünürlük raporu”
/ai-arama-rakip-analizi/ — “prompt bazlı rakip analizi”
/rank-prompt-nedir/ — “ajanslar için AI görünürlük platformu”</x:v>
      </x:c>
      <x:c r="L20" s="89" t="str">
        <x:v>ajans-ai-gorunurluk-hizmeti-kapak.webp | Ajansın müşteriye AI görünürlük hizmeti sunduğunu gösteren kapak
ai-hizmet-paketleri.webp | Audit monitor ve optimize paket karşılaştırması
geo-maliyet-modeli.webp | GEO hizmeti maliyet ve marj hesaplama tablosu
ajans-ai-rapor-akisi.webp | Aylık AI görünürlük rapor ve toplantı akışı</x:v>
      </x:c>
      <x:c r="M20" s="89" t="str">
        <x:v>https://rankprompt.com/use-cases/agencies/
https://rankprompt.com/geo-for-agencies/
https://rankprompt.com/
https://developers.google.com/search/docs/fundamentals/third-party-seo</x:v>
      </x:c>
      <x:c r="N20" s="89" t="str">
        <x:v>Tam eşleşen ajans AI görünürlük hizmeti rehberi bulunmadı.</x:v>
      </x:c>
      <x:c r="O20" s="93" t="n">
        <x:v>19</x:v>
      </x:c>
      <x:c r="P20" s="93" t="str">
        <x:v>Brief hazır</x:v>
      </x:c>
      <x:c r="Q20" s="93" t="n">
        <x:f>LEN(Import_Brief!D20)</x:f>
        <x:v>45</x:v>
      </x:c>
      <x:c r="R20" s="93" t="n">
        <x:f>LEN(Import_Brief!E20)</x:f>
        <x:v>154</x:v>
      </x:c>
      <x:c r="S20" s="93" t="str">
        <x:f>IF(AND(Q20&lt;=60,R20&gt;=150,R20&lt;=160),"OK","Düzelt")</x:f>
        <x:v>OK</x:v>
      </x:c>
    </x:row>
    <x:row r="21" ht="110" customHeight="1">
      <x:c r="A21" s="93" t="n">
        <x:v>20</x:v>
      </x:c>
      <x:c r="B21" s="89" t="str">
        <x:v>Araç seçimi</x:v>
      </x:c>
      <x:c r="C21" s="89" t="str">
        <x:v>Karar</x:v>
      </x:c>
      <x:c r="D21" s="89" t="str">
        <x:v>SEO yöneticileri, ajanslar, SaaS ve e-ticaret pazarlama ekipleri</x:v>
      </x:c>
      <x:c r="E21" s="89" t="str">
        <x:v>Contact Studios Best-Of</x:v>
      </x:c>
      <x:c r="F21" s="89" t="str">
        <x:v>en-iyi-ai-gorunurluk-araclari</x:v>
      </x:c>
      <x:c r="G21" s="89" t="str">
        <x:v>en iyi AI görünürlük araçları</x:v>
      </x:c>
      <x:c r="H21" s="89" t="str">
        <x:v>AI visibility tools, ChatGPT visibility tools, GEO tools, AEO tools, LLM tracking tools, AI brand monitoring, AI citation tracking tools, AI search analytics, Rank Prompt alternatifleri, Profound vs Peec AI, Otterly AI inceleme, AI visibility software</x:v>
      </x:c>
      <x:c r="I21" s="89" t="str">
        <x:v>Aynı 10 promptu mümkün olan araçlarda test edin ve veri tazeliği, platform kapsamı, citation ayrıntısı, export, onboarding süresi ve toplam maliyet üzerinden şeffaf puanlama rubriği yayınlayın. Test edilemeyen özellikleri açıkça 'resmi bilgi' olarak etiketleyin.</x:v>
      </x:c>
      <x:c r="J21" s="89" t="str">
        <x:v>Türkçe listeler çoğunlukla fiyat ve platform sayısını tekrar ediyor. Bu yazı metodoloji şeffaflığı, prompt kontrolü, citation derinliği, veri export/API, ajans workflow’u ve toplam maliyeti karşılaştırmalı.</x:v>
      </x:c>
      <x:c r="K21" s="89" t="str">
        <x:v>/rank-prompt-nedir/ — “Rank Prompt incelemesi”
/llm-gorunurluk-takibi/ — “LLM görünürlük takibi”
/ajans-ai-gorunurluk-hizmeti/ — “ajans AI görünürlük operasyonu”</x:v>
      </x:c>
      <x:c r="L21" s="89" t="str">
        <x:v>en-iyi-ai-gorunurluk-araclari-kapak.webp | 2026 AI görünürlük araçları karşılaştırma kapak görseli
ai-arac-degerlendirme-rubrigi.webp | AI görünürlük araçları puanlama rubriği
ai-gorunurluk-araclari-tablosu.webp | Sekiz AI görünürlük aracını karşılaştıran tablo
hangi-ai-araci.webp | Kullanım senaryosuna göre AI görünürlük aracı seçim ağacı</x:v>
      </x:c>
      <x:c r="M21" s="89" t="str">
        <x:v>https://rankprompt.com/
https://rankprompt.com/pricing/
https://developers.google.com/search/docs/fundamentals/third-party-seo</x:v>
      </x:c>
      <x:c r="N21" s="89" t="str">
        <x:v>Ortak Alan’da AI görünürlük araçları listesi bulunmadı. SERP’te güncel Türkçe listeler var; özgün test metodolojisi şart.</x:v>
      </x:c>
      <x:c r="O21" s="93" t="n">
        <x:v>20</x:v>
      </x:c>
      <x:c r="P21" s="93" t="str">
        <x:v>Brief hazır</x:v>
      </x:c>
      <x:c r="Q21" s="93" t="n">
        <x:f>LEN(Import_Brief!D21)</x:f>
        <x:v>34</x:v>
      </x:c>
      <x:c r="R21" s="93" t="n">
        <x:f>LEN(Import_Brief!E21)</x:f>
        <x:v>155</x:v>
      </x:c>
      <x:c r="S21" s="93" t="str">
        <x:f>IF(AND(Q21&lt;=60,R21&gt;=150,R21&lt;=160),"OK","Düzelt")</x:f>
        <x:v>OK</x:v>
      </x:c>
    </x:row>
  </x:sheetData>
  <x:conditionalFormatting sqref="S2:S21">
    <x:cfRule type="expression" dxfId="0" priority="1">
      <x:formula>S2="OK"</x:formula>
    </x:cfRule>
    <x:cfRule type="expression" dxfId="1" priority="2">
      <x:formula>S2="Düzelt"</x:formula>
    </x:cfRule>
  </x:conditionalFormatting>
  <x:conditionalFormatting sqref="Q2:Q21">
    <x:cfRule type="cellIs" dxfId="2" priority="3" operator="greaterThan">
      <x:formula>60</x:formula>
    </x:cfRule>
  </x:conditionalFormatting>
  <x:conditionalFormatting sqref="R2:R21">
    <x:cfRule type="expression" dxfId="3" priority="4">
      <x:formula>OR(R2&lt;150,R2&gt;160)</x:formula>
    </x:cfRule>
  </x:conditionalFormatting>
  <x:dataValidations count="1">
    <x:dataValidation type="list" sqref="P2:P21">
      <x:formula1>"Brief hazır,Araştırma bekliyor,Yayında"</x:formula1>
    </x:dataValidation>
  </x:dataValidations>
  <x:pageMargins left="0.7" right="0.7" top="0.75" bottom="0.75" header="0.3" footer="0.3"/>
  <x:tableParts count="1">
    <x:tablePart xmlns:r="http://schemas.openxmlformats.org/officeDocument/2006/relationships" r:id="Raa640c5c17334ba4"/>
  </x:tableParts>
</x:worksheet>
</file>

<file path=xl/worksheets/sheet4.xml><?xml version="1.0" encoding="utf-8"?>
<x:worksheet xmlns:x="http://schemas.openxmlformats.org/spreadsheetml/2006/main">
  <x:sheetFormatPr defaultRowHeight="15"/>
  <x:cols>
    <x:col min="1" max="1" width="30" hidden="0" customWidth="1"/>
    <x:col min="2" max="2" width="70" hidden="0" customWidth="1"/>
    <x:col min="3" max="3" width="48" hidden="0" customWidth="1"/>
    <x:col min="4" max="4" width="44" hidden="0" customWidth="1"/>
    <x:col min="5" max="5" width="16" hidden="0" customWidth="1"/>
  </x:cols>
  <x:sheetData>
    <x:row r="1" ht="32" customHeight="1">
      <x:c r="A1" s="51" t="str">
        <x:v>Source</x:v>
      </x:c>
      <x:c r="B1" s="51" t="str">
        <x:v>URL</x:v>
      </x:c>
      <x:c r="C1" s="51" t="str">
        <x:v>Use in campaign</x:v>
      </x:c>
      <x:c r="D1" s="51" t="str">
        <x:v>Reliability / notes</x:v>
      </x:c>
      <x:c r="E1" s="51" t="str">
        <x:v>Last checked</x:v>
      </x:c>
    </x:row>
    <x:row r="2" ht="52" customHeight="1">
      <x:c r="A2" s="97" t="str">
        <x:v>Rank Prompt ana sayfa</x:v>
      </x:c>
      <x:c r="B2" s="101" t="str">
        <x:v>https://rankprompt.com/</x:v>
      </x:c>
      <x:c r="C2" s="97" t="str">
        <x:v>Güncel platform kapsamı, ürün özellikleri, kullanım alanları</x:v>
      </x:c>
      <x:c r="D2" s="97" t="str">
        <x:v>Birincil resmi ürün kaynağı</x:v>
      </x:c>
      <x:c r="E2" s="97" t="str">
        <x:v>2026-07-12</x:v>
      </x:c>
    </x:row>
    <x:row r="3" ht="52" customHeight="1">
      <x:c r="A3" s="97" t="str">
        <x:v>Rank Prompt fiyatlandırma</x:v>
      </x:c>
      <x:c r="B3" s="101" t="str">
        <x:v>https://rankprompt.com/pricing/</x:v>
      </x:c>
      <x:c r="C3" s="97" t="str">
        <x:v>Güncel plan, kredi, deneme ve marka limitleri</x:v>
      </x:c>
      <x:c r="D3" s="97" t="str">
        <x:v>Yayın günü tekrar kontrol et</x:v>
      </x:c>
      <x:c r="E3" s="97" t="str">
        <x:v>2026-07-12</x:v>
      </x:c>
    </x:row>
    <x:row r="4" ht="52" customHeight="1">
      <x:c r="A4" s="97" t="str">
        <x:v>Rank Prompt API</x:v>
      </x:c>
      <x:c r="B4" s="101" t="str">
        <x:v>https://rankprompt.com/developers/</x:v>
      </x:c>
      <x:c r="C4" s="97" t="str">
        <x:v>API, webhooks, MCP, platform ve citation verisi</x:v>
      </x:c>
      <x:c r="D4" s="97" t="str">
        <x:v>Birincil resmi teknik kaynak</x:v>
      </x:c>
      <x:c r="E4" s="97" t="str">
        <x:v>2026-07-12</x:v>
      </x:c>
    </x:row>
    <x:row r="5" ht="52" customHeight="1">
      <x:c r="A5" s="97" t="str">
        <x:v>Rank Prompt LLM bilgisi</x:v>
      </x:c>
      <x:c r="B5" s="101" t="str">
        <x:v>https://rankprompt.com/llm-info/</x:v>
      </x:c>
      <x:c r="C5" s="97" t="str">
        <x:v>AI Visibility Score, prompt-first yaklaşım, AEO/GEO tanımları</x:v>
      </x:c>
      <x:c r="D5" s="97" t="str">
        <x:v>Birincil resmi ürün kaynağı</x:v>
      </x:c>
      <x:c r="E5" s="97" t="str">
        <x:v>2026-07-12</x:v>
      </x:c>
    </x:row>
    <x:row r="6" ht="52" customHeight="1">
      <x:c r="A6" s="97" t="str">
        <x:v>Rank Prompt ajans çözümü</x:v>
      </x:c>
      <x:c r="B6" s="101" t="str">
        <x:v>https://rankprompt.com/use-cases/agencies/</x:v>
      </x:c>
      <x:c r="C6" s="97" t="str">
        <x:v>Ajans kullanım alanları ve iş akışı</x:v>
      </x:c>
      <x:c r="D6" s="97" t="str">
        <x:v>Ticari iddiaları bağımsızlaştırarak yaz</x:v>
      </x:c>
      <x:c r="E6" s="97" t="str">
        <x:v>2026-07-12</x:v>
      </x:c>
    </x:row>
    <x:row r="7" ht="52" customHeight="1">
      <x:c r="A7" s="97" t="str">
        <x:v>Google AI features</x:v>
      </x:c>
      <x:c r="B7" s="101" t="str">
        <x:v>https://developers.google.com/search/docs/appearance/ai-features</x:v>
      </x:c>
      <x:c r="C7" s="97" t="str">
        <x:v>AI Overviews/AI Mode için teknik uygunluk ve temel SEO</x:v>
      </x:c>
      <x:c r="D7" s="97" t="str">
        <x:v>Birincil resmi kaynak</x:v>
      </x:c>
      <x:c r="E7" s="97" t="str">
        <x:v>2026-07-12</x:v>
      </x:c>
    </x:row>
    <x:row r="8" ht="52" customHeight="1">
      <x:c r="A8" s="97" t="str">
        <x:v>Google generative AI optimization</x:v>
      </x:c>
      <x:c r="B8" s="101" t="str">
        <x:v>https://developers.google.com/search/docs/fundamentals/ai-optimization-guide</x:v>
      </x:c>
      <x:c r="C8" s="97" t="str">
        <x:v>People-first içerik, query fan-out, mitler, ölçüm</x:v>
      </x:c>
      <x:c r="D8" s="97" t="str">
        <x:v>Birincil resmi kaynak; en güncel rehber</x:v>
      </x:c>
      <x:c r="E8" s="97" t="str">
        <x:v>2026-07-12</x:v>
      </x:c>
    </x:row>
    <x:row r="9" ht="52" customHeight="1">
      <x:c r="A9" s="97" t="str">
        <x:v>Google generative AI content</x:v>
      </x:c>
      <x:c r="B9" s="101" t="str">
        <x:v>https://developers.google.com/search/docs/fundamentals/using-gen-ai-content</x:v>
      </x:c>
      <x:c r="C9" s="97" t="str">
        <x:v>AI ile ölçekli içerik ve spam politikası</x:v>
      </x:c>
      <x:c r="D9" s="97" t="str">
        <x:v>Birincil resmi kaynak</x:v>
      </x:c>
      <x:c r="E9" s="97" t="str">
        <x:v>2026-07-12</x:v>
      </x:c>
    </x:row>
    <x:row r="10" ht="52" customHeight="1">
      <x:c r="A10" s="97" t="str">
        <x:v>Google third-party SEO guidance</x:v>
      </x:c>
      <x:c r="B10" s="101" t="str">
        <x:v>https://developers.google.com/search/docs/fundamentals/third-party-seo</x:v>
      </x:c>
      <x:c r="C10" s="97" t="str">
        <x:v>Üçüncü taraf SEO/GEO araçlarının değerlendirilmesi</x:v>
      </x:c>
      <x:c r="D10" s="97" t="str">
        <x:v>Birincil resmi kaynak</x:v>
      </x:c>
      <x:c r="E10" s="97" t="str">
        <x:v>2026-07-12</x:v>
      </x:c>
    </x:row>
    <x:row r="11" ht="52" customHeight="1">
      <x:c r="A11" s="97" t="str">
        <x:v>Google structured data guidelines</x:v>
      </x:c>
      <x:c r="B11" s="101" t="str">
        <x:v>https://developers.google.com/search/docs/appearance/structured-data/sd-policies</x:v>
      </x:c>
      <x:c r="C11" s="97" t="str">
        <x:v>Structured data sınırları ve kalite kuralları</x:v>
      </x:c>
      <x:c r="D11" s="97" t="str">
        <x:v>Birincil resmi teknik kaynak</x:v>
      </x:c>
      <x:c r="E11" s="97" t="str">
        <x:v>2026-07-12</x:v>
      </x:c>
    </x:row>
    <x:row r="12" ht="52" customHeight="1">
      <x:c r="A12" s="97" t="str">
        <x:v>Google Article schema</x:v>
      </x:c>
      <x:c r="B12" s="101" t="str">
        <x:v>https://developers.google.com/search/docs/appearance/structured-data/article</x:v>
      </x:c>
      <x:c r="C12" s="97" t="str">
        <x:v>Article structured data alanları</x:v>
      </x:c>
      <x:c r="D12" s="97" t="str">
        <x:v>Birincil resmi teknik kaynak</x:v>
      </x:c>
      <x:c r="E12" s="97" t="str">
        <x:v>2026-07-12</x:v>
      </x:c>
    </x:row>
    <x:row r="13" ht="52" customHeight="1">
      <x:c r="A13" s="97" t="str">
        <x:v>Google Organization schema</x:v>
      </x:c>
      <x:c r="B13" s="101" t="str">
        <x:v>https://developers.google.com/search/docs/appearance/structured-data/organization</x:v>
      </x:c>
      <x:c r="C13" s="97" t="str">
        <x:v>Organization entity alanları</x:v>
      </x:c>
      <x:c r="D13" s="97" t="str">
        <x:v>Birincil resmi teknik kaynak</x:v>
      </x:c>
      <x:c r="E13" s="97" t="str">
        <x:v>2026-07-12</x:v>
      </x:c>
    </x:row>
    <x:row r="14" ht="52" customHeight="1">
      <x:c r="A14" s="97" t="str">
        <x:v>Google Product schema</x:v>
      </x:c>
      <x:c r="B14" s="101" t="str">
        <x:v>https://developers.google.com/search/docs/appearance/structured-data/product</x:v>
      </x:c>
      <x:c r="C14" s="97" t="str">
        <x:v>Product structured data</x:v>
      </x:c>
      <x:c r="D14" s="97" t="str">
        <x:v>Birincil resmi teknik kaynak</x:v>
      </x:c>
      <x:c r="E14" s="97" t="str">
        <x:v>2026-07-12</x:v>
      </x:c>
    </x:row>
    <x:row r="15" ht="52" customHeight="1">
      <x:c r="A15" s="97" t="str">
        <x:v>Google LocalBusiness schema</x:v>
      </x:c>
      <x:c r="B15" s="101" t="str">
        <x:v>https://developers.google.com/search/docs/appearance/structured-data/local-business</x:v>
      </x:c>
      <x:c r="C15" s="97" t="str">
        <x:v>Yerel işletme bilgileri ve structured data</x:v>
      </x:c>
      <x:c r="D15" s="97" t="str">
        <x:v>Birincil resmi teknik kaynak</x:v>
      </x:c>
      <x:c r="E15" s="97" t="str">
        <x:v>2026-07-12</x:v>
      </x:c>
    </x:row>
    <x:row r="16" ht="52" customHeight="1">
      <x:c r="A16" s="97" t="str">
        <x:v>OpenAI publishers FAQ</x:v>
      </x:c>
      <x:c r="B16" s="101" t="str">
        <x:v>https://help.openai.com/en/articles/12627856-publishers-and-developers-faq</x:v>
      </x:c>
      <x:c r="C16" s="97" t="str">
        <x:v>OAI-SearchBot, GPTBot ve chatgpt.com UTM/referral bilgisi</x:v>
      </x:c>
      <x:c r="D16" s="97" t="str">
        <x:v>Birincil resmi OpenAI kaynağı</x:v>
      </x:c>
      <x:c r="E16" s="97" t="str">
        <x:v>2026-07-12</x:v>
      </x:c>
    </x:row>
    <x:row r="17" ht="52" customHeight="1">
      <x:c r="A17" s="97" t="str">
        <x:v>Perplexity crawlers</x:v>
      </x:c>
      <x:c r="B17" s="101" t="str">
        <x:v>https://docs.perplexity.ai/docs/resources/perplexity-crawlers</x:v>
      </x:c>
      <x:c r="C17" s="97" t="str">
        <x:v>PerplexityBot amacı ve robots.txt önerisi</x:v>
      </x:c>
      <x:c r="D17" s="97" t="str">
        <x:v>Birincil resmi Perplexity kaynağı</x:v>
      </x:c>
      <x:c r="E17" s="97" t="str">
        <x:v>2026-07-12</x:v>
      </x:c>
    </x:row>
    <x:row r="18" ht="52" customHeight="1">
      <x:c r="A18" s="97" t="str">
        <x:v>GA4 Traffic acquisition</x:v>
      </x:c>
      <x:c r="B18" s="101" t="str">
        <x:v>https://support.google.com/analytics/answer/12923437</x:v>
      </x:c>
      <x:c r="C18" s="97" t="str">
        <x:v>Session source/medium ve trafik kaynağı analizi</x:v>
      </x:c>
      <x:c r="D18" s="97" t="str">
        <x:v>Birincil resmi Google Analytics kaynağı</x:v>
      </x:c>
      <x:c r="E18" s="97" t="str">
        <x:v>2026-07-12</x:v>
      </x:c>
    </x:row>
    <x:row r="19" ht="52" customHeight="1">
      <x:c r="A19" s="97" t="str">
        <x:v>GA4 Landing page report</x:v>
      </x:c>
      <x:c r="B19" s="101" t="str">
        <x:v>https://support.google.com/analytics/answer/12931766</x:v>
      </x:c>
      <x:c r="C19" s="97" t="str">
        <x:v>Landing page + source/medium analizi</x:v>
      </x:c>
      <x:c r="D19" s="97" t="str">
        <x:v>Birincil resmi Google Analytics kaynağı</x:v>
      </x:c>
      <x:c r="E19" s="97" t="str">
        <x:v>2026-07-12</x:v>
      </x:c>
    </x:row>
    <x:row r="20" ht="52" customHeight="1">
      <x:c r="A20" s="97" t="str">
        <x:v>Ortak Alan DexterGPT yazısı</x:v>
      </x:c>
      <x:c r="B20" s="101" t="str">
        <x:v>https://ortakalan.io/dextergpt-nedir/</x:v>
      </x:c>
      <x:c r="C20" s="97" t="str">
        <x:v>İç link ve mevcut konu yakınlığı kontrolü</x:v>
      </x:c>
      <x:c r="D20" s="97" t="str">
        <x:v>Mevcut dahili içerik</x:v>
      </x:c>
      <x:c r="E20" s="97" t="str">
        <x:v>2026-07-12</x:v>
      </x:c>
    </x:row>
  </x:sheetData>
  <x:pageMargins left="0.7" right="0.7" top="0.75" bottom="0.75" header="0.3" footer="0.3"/>
  <x:tableParts count="1">
    <x:tablePart xmlns:r="http://schemas.openxmlformats.org/officeDocument/2006/relationships" r:id="R240289b0a4f646d6"/>
  </x:tableParts>
</x:worksheet>
</file>

<file path=xl/worksheets/sheet5.xml><?xml version="1.0" encoding="utf-8"?>
<x:worksheet xmlns:x="http://schemas.openxmlformats.org/spreadsheetml/2006/main">
  <x:sheetFormatPr defaultRowHeight="15"/>
  <x:cols>
    <x:col min="1" max="1" width="30" hidden="0" customWidth="1"/>
    <x:col min="2" max="2" width="105" hidden="0" customWidth="1"/>
  </x:cols>
  <x:sheetData>
    <x:row r="1" ht="34" customHeight="1">
      <x:c r="A1" s="103" t="str">
        <x:v>Kampanya Kuralları ve İthalat Talimatları</x:v>
      </x:c>
      <x:c r="B1" s="103"/>
      <x:c r="C1" s="103"/>
      <x:c r="D1" s="103"/>
      <x:c r="E1" s="103"/>
      <x:c r="F1" s="103"/>
    </x:row>
    <x:row r="3" ht="60" customHeight="1">
      <x:c r="A3" s="26" t="str">
        <x:v>Kural</x:v>
      </x:c>
      <x:c r="B3" s="26" t="str">
        <x:v>Uygulama</x:v>
      </x:c>
    </x:row>
    <x:row r="4" ht="60" customHeight="1">
      <x:c r="A4" s="105" t="str">
        <x:v>İthalat sayfası</x:v>
      </x:c>
      <x:c r="B4" s="109" t="str">
        <x:v>Programmatic SEO aracında Import_Brief sayfasını kullanın; A:G sütunları ekran görüntüsündeki beklenen alanlarla birebir eşleşir.</x:v>
      </x:c>
    </x:row>
    <x:row r="5" ht="60" customHeight="1">
      <x:c r="A5" s="105" t="str">
        <x:v>Satır sayısı</x:v>
      </x:c>
      <x:c r="B5" s="109" t="str">
        <x:v>20 içerik briefi; her satır tek bağımsız blog yazısı üretmelidir.</x:v>
      </x:c>
    </x:row>
    <x:row r="6" ht="60" customHeight="1">
      <x:c r="A6" s="105" t="str">
        <x:v>Kelime uzunluğu</x:v>
      </x:c>
      <x:c r="B6" s="109" t="str">
        <x:v>Her yazı 1.500–2.000 kelime; 2.500 kelimeyi aşma.</x:v>
      </x:c>
    </x:row>
    <x:row r="7" ht="60" customHeight="1">
      <x:c r="A7" s="105" t="str">
        <x:v>Şablon</x:v>
      </x:c>
      <x:c r="B7" s="109" t="str">
        <x:v>Her briefin ilk satırındaki Template bilgisini uygula. Ürün/ticari yazılarda Contact Studios; editoryal tanım/pillar yazılarda HubSpot yaklaşımı.</x:v>
      </x:c>
    </x:row>
    <x:row r="8" ht="60" customHeight="1">
      <x:c r="A8" s="105" t="str">
        <x:v>Ton</x:v>
      </x:c>
      <x:c r="B8" s="109" t="str">
        <x:v>Ortak Alan editoryal tonu: profesyonel, açık, kanıta dayalı, merak uyandıran; satış baskısı yok.</x:v>
      </x:c>
    </x:row>
    <x:row r="9" ht="60" customHeight="1">
      <x:c r="A9" s="105" t="str">
        <x:v>CTA</x:v>
      </x:c>
      <x:c r="B9" s="109" t="str">
        <x:v>Yalnızca sonuç veya ilgili ürün bölümünde bir kez; affiliate açıklamasıyla birlikte.</x:v>
      </x:c>
    </x:row>
    <x:row r="10" ht="60" customHeight="1">
      <x:c r="A10" s="105" t="str">
        <x:v>Affiliate açıklaması</x:v>
      </x:c>
      <x:c r="B10" s="109" t="str">
        <x:v>“Bu bir iş ortaklığı bağlantısıdır; kayıt veya satın alma halinde Ortak Alan komisyon kazanabilir.”</x:v>
      </x:c>
    </x:row>
    <x:row r="11" ht="60" customHeight="1">
      <x:c r="A11" s="105" t="str">
        <x:v>Ürün iddiaları</x:v>
      </x:c>
      <x:c r="B11" s="109" t="str">
        <x:v>Görünürlük veya sıralama garantisi verme. Rank Prompt’u üçüncü taraf ölçüm/analiz aracı olarak konumlandır.</x:v>
      </x:c>
    </x:row>
    <x:row r="12" ht="60" customHeight="1">
      <x:c r="A12" s="105" t="str">
        <x:v>Güncellik</x:v>
      </x:c>
      <x:c r="B12" s="109" t="str">
        <x:v>Fiyat, platform kapsamı ve özellikleri yayın günü resmi Rank Prompt sayfalarından kontrol et.</x:v>
      </x:c>
    </x:row>
    <x:row r="13" ht="60" customHeight="1">
      <x:c r="A13" s="105" t="str">
        <x:v>Özgün veri</x:v>
      </x:c>
      <x:c r="B13" s="109" t="str">
        <x:v>Her yazıdaki proprietary data görevini tamamla; yapılamıyorsa veri uydurma ve editör notu bırak.</x:v>
      </x:c>
    </x:row>
    <x:row r="14" ht="60" customHeight="1">
      <x:c r="A14" s="105" t="str">
        <x:v>SEO</x:v>
      </x:c>
      <x:c r="B14" s="109" t="str">
        <x:v>Primary keyword ilk 100 kelimede, 3+ başlıkta doğal kullanım; meta title &lt;60, description 150–160.</x:v>
      </x:c>
    </x:row>
    <x:row r="15" ht="60" customHeight="1">
      <x:c r="A15" s="105" t="str">
        <x:v>AI crawl</x:v>
      </x:c>
      <x:c r="B15" s="109" t="str">
        <x:v>Google’a göre özel GEO hack veya llms.txt zorunluluğu iddia etme. OpenAI/Perplexity bot ayrımlarını resmi dokümanlarla ver.</x:v>
      </x:c>
    </x:row>
    <x:row r="16" ht="60" customHeight="1">
      <x:c r="A16" s="105" t="str">
        <x:v>İç link</x:v>
      </x:c>
      <x:c r="B16" s="109" t="str">
        <x:v>Gelecek URL henüz yayımlanmadıysa kırık link ekleme; yayın sonrası editör görevi oluştur.</x:v>
      </x:c>
    </x:row>
    <x:row r="17">
      <x:c r="A17" t="str">
        <x:v>Kaynaklar</x:v>
      </x:c>
      <x:c r="B17" t="str">
        <x:v>Dış kaynaklarda resmi/birincil kaynakları kullan; rakip araç bloglarına referans linki verme.</x:v>
      </x:c>
    </x:row>
    <x:row r="18">
      <x:c r="A18" t="str">
        <x:v>Yayın sırası</x:v>
      </x:c>
      <x:c r="B18" t="str">
        <x:v>1–4 temel/pillar → 5–15 ölçüm/optimizasyon → 16–19 use-case → 20 best-of.</x:v>
      </x:c>
    </x:row>
  </x:sheetData>
  <x:mergeCells>
    <x:mergeCell ref="A1:F1"/>
  </x:mergeCells>
  <x:pageMargins left="0.7" right="0.7" top="0.75" bottom="0.75" header="0.3" footer="0.3"/>
  <x:tableParts count="1">
    <x:tablePart xmlns:r="http://schemas.openxmlformats.org/officeDocument/2006/relationships" r:id="R8056d01cba1a4a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8" hidden="0" customWidth="1"/>
    <x:col min="4" max="4" width="22" hidden="0" customWidth="1"/>
    <x:col min="5" max="5" width="16" hidden="0" customWidth="1"/>
    <x:col min="6" max="6" width="30" hidden="0" customWidth="1"/>
    <x:col min="7" max="7" width="13" hidden="0" customWidth="1"/>
    <x:col min="8" max="8" width="24" hidden="0" customWidth="1"/>
    <x:col min="9" max="9" width="18" hidden="0" customWidth="1"/>
    <x:col min="10" max="10" width="42" hidden="0" customWidth="1"/>
    <x:col min="11" max="11" width="28" hidden="0" customWidth="1"/>
    <x:col min="12" max="12" width="28" hidden="0" customWidth="1"/>
    <x:col min="13" max="13" width="24" hidden="0" customWidth="1"/>
    <x:col min="14" max="14" width="48" hidden="0" customWidth="1"/>
    <x:col min="15" max="15" width="34" hidden="0" customWidth="1"/>
    <x:col min="16" max="16" width="12" hidden="0" customWidth="1"/>
    <x:col min="17" max="17" width="48" hidden="0" customWidth="1"/>
    <x:col min="18" max="18" width="14" hidden="0" customWidth="1"/>
    <x:col min="19" max="19" width="70" hidden="0" customWidth="1"/>
    <x:col min="20" max="20" width="55" hidden="0" customWidth="1"/>
    <x:col min="21" max="21" width="44" hidden="0" customWidth="1"/>
    <x:col min="22" max="22" width="48" hidden="0" customWidth="1"/>
    <x:col min="23" max="23" width="58" hidden="0" customWidth="1"/>
    <x:col min="24" max="24" width="54" hidden="0" customWidth="1"/>
    <x:col min="25" max="25" width="42" hidden="0" customWidth="1"/>
    <x:col min="26" max="26" width="12" hidden="0" customWidth="1"/>
    <x:col min="27" max="27" width="58" hidden="0" customWidth="1"/>
  </x:cols>
  <x:sheetData>
    <x:row r="1" ht="34" customHeight="1">
      <x:c r="A1" s="118" t="str">
        <x:v>ID</x:v>
      </x:c>
      <x:c r="B1" s="118" t="str">
        <x:v>Status</x:v>
      </x:c>
      <x:c r="C1" s="118" t="str">
        <x:v>Priority</x:v>
      </x:c>
      <x:c r="D1" s="118" t="str">
        <x:v>Cluster</x:v>
      </x:c>
      <x:c r="E1" s="118" t="str">
        <x:v>Funnel</x:v>
      </x:c>
      <x:c r="F1" s="118" t="str">
        <x:v>Persona</x:v>
      </x:c>
      <x:c r="G1" s="118" t="str">
        <x:v>Page type</x:v>
      </x:c>
      <x:c r="H1" s="118" t="str">
        <x:v>Template</x:v>
      </x:c>
      <x:c r="I1" s="118" t="str">
        <x:v>URL path</x:v>
      </x:c>
      <x:c r="J1" s="118" t="str">
        <x:v>H1 / title</x:v>
      </x:c>
      <x:c r="K1" s="118" t="str">
        <x:v>Slug</x:v>
      </x:c>
      <x:c r="L1" s="118" t="str">
        <x:v>Primary keyword</x:v>
      </x:c>
      <x:c r="M1" s="118" t="str">
        <x:v>Search intent</x:v>
      </x:c>
      <x:c r="N1" s="118" t="str">
        <x:v>Related keywords</x:v>
      </x:c>
      <x:c r="O1" s="118" t="str">
        <x:v>Meta title</x:v>
      </x:c>
      <x:c r="P1" s="120" t="str">
        <x:v>Meta title chars</x:v>
      </x:c>
      <x:c r="Q1" s="118" t="str">
        <x:v>Meta description</x:v>
      </x:c>
      <x:c r="R1" s="120" t="str">
        <x:v>Meta description chars</x:v>
      </x:c>
      <x:c r="S1" s="118" t="str">
        <x:v>Outline / brief</x:v>
      </x:c>
      <x:c r="T1" s="118" t="str">
        <x:v>CTA</x:v>
      </x:c>
      <x:c r="U1" s="118" t="str">
        <x:v>Internal linking plan</x:v>
      </x:c>
      <x:c r="V1" s="118" t="str">
        <x:v>Official source URLs</x:v>
      </x:c>
      <x:c r="W1" s="118" t="str">
        <x:v>Proprietary data requirement</x:v>
      </x:c>
      <x:c r="X1" s="118" t="str">
        <x:v>Image plan</x:v>
      </x:c>
      <x:c r="Y1" s="118" t="str">
        <x:v>Duplicate check</x:v>
      </x:c>
      <x:c r="Z1" s="120" t="str">
        <x:v>QA status</x:v>
      </x:c>
      <x:c r="AA1" s="118" t="str">
        <x:v>Notes</x:v>
      </x:c>
    </x:row>
    <x:row r="2" ht="72" customHeight="1">
      <x:c r="A2" s="117" t="n">
        <x:v>1</x:v>
      </x:c>
      <x:c r="B2" s="117" t="str">
        <x:v>Brief hazır</x:v>
      </x:c>
      <x:c r="C2" s="117" t="n">
        <x:v>1</x:v>
      </x:c>
      <x:c r="D2" s="117" t="str">
        <x:v>Ürün ve temel kavramlar</x:v>
      </x:c>
      <x:c r="E2" s="117" t="str">
        <x:v>Değerlendirme</x:v>
      </x:c>
      <x:c r="F2" s="117" t="str">
        <x:v>SEO uzmanları, growth ekipleri, ajanslar, SaaS kurucuları</x:v>
      </x:c>
      <x:c r="G2" s="117" t="str">
        <x:v>What is</x:v>
      </x:c>
      <x:c r="H2" s="117" t="str">
        <x:v>HubSpot “What Is” — ürün odaklı editoryal</x:v>
      </x:c>
      <x:c r="I2" s="117" t="str">
        <x:v>/rank-prompt-nedir/</x:v>
      </x:c>
      <x:c r="J2" s="117" t="str">
        <x:v>Rank Prompt Nedir? AI Arama Görünürlüğü İçin Tarafsız Rehber</x:v>
      </x:c>
      <x:c r="K2" s="117" t="str">
        <x:v>rank-prompt-nedir</x:v>
      </x:c>
      <x:c r="L2" s="117" t="str">
        <x:v>Rank Prompt nedir</x:v>
      </x:c>
      <x:c r="M2" s="117" t="str">
        <x:v>Ticari araştırma / bilgilendirici</x:v>
      </x:c>
      <x:c r="N2" s="117" t="str">
        <x:v>Rank Prompt ne işe yarar, Rank Prompt inceleme, Rank Prompt özellikleri, Rank Prompt fiyatları, AI görünürlük platformu, ChatGPT görünürlük aracı, GEO takip aracı, LLM marka takibi, AI rakip analizi, AI citation tracking, AI visibility score, Rank Prompt alternatifleri</x:v>
      </x:c>
      <x:c r="O2" s="117" t="str">
        <x:v>Rank Prompt Nedir? AI Görünürlük Rehberi</x:v>
      </x:c>
      <x:c r="P2" s="119" t="n">
        <x:f>IF(O2="","",LEN(O2))</x:f>
        <x:v>40</x:v>
      </x:c>
      <x:c r="Q2" s="117" t="str">
        <x:v>Rank Prompt nedir, AI görünürlük aracı nasıl çalışır ve kimler için uygundur? Özellikleri, kullanım akışını ve sınırlamaları tarafsız biçimde inceleyin.</x:v>
      </x:c>
      <x:c r="R2" s="119" t="n">
        <x:f>IF(Q2="","",LEN(Q2))</x:f>
        <x:v>152</x:v>
      </x:c>
      <x:c r="S2" s="117" t="str">
        <x:v>TEMPLATE: HubSpot “What Is” — ürün odaklı editoryal
    HEDEF UZUNLUK: 1.500–2.000 kelime; 2.500 kelimeyi geçme.
    OKUYUCU: SEO uzmanları, growth ekipleri, ajanslar, SaaS kurucuları
    FUNNEL AŞAMASI: Değerlendirme
    ARAMA NİYETİ: Ticari araştırma / bilgilendirici
    TON: Profesyonel, anlaşılır, kanıta dayalı ve tarafsız. Reklam dili, abartı, “garantili görünürlük” ve doğrulanmamış üstünlük iddiaları kullanma.
    ANAHTAR KELİMELER
    - Birincil: Rank Prompt nedir
    - İlgili/uzun kuyruklu: Rank Prompt ne işe yarar, Rank Prompt inceleme, Rank Prompt özellikleri, Rank Prompt fiyatları, AI görünürlük platformu, ChatGPT görünürlük aracı, GEO takip aracı, LLM marka takibi, AI rakip analizi, AI citation tracking, AI visibility score, Rank Prompt alternatifleri
    - Birincil anahtar kelimeyi ilk 100 kelime içinde doğal biçimde kullan.
    - Anahtar kelimeyi en az 3 başlıkta doğal ve dilbilgisel olarak kullan; keyword stuffing yapma.
    AÇILIŞ
    - H1: Rank Prompt Nedir? AI Arama Görünürlüğü İçin Tarafsız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ürün yazıları çoğunlukla özellik listesinden ibaret. Bu yazı; gerçek kullanım akışı, hangi ekip için mantıklı olduğu, ölçüm metodolojisi, veri sınırlamaları ve 'garanti vermez' çerçevesini birlikte sunmalı.
    ZORUNLU ÖZGÜN KANIT / PROPRIETARY INFORMATION
    Bir Ortak Alan markası veya örnek SaaS için aynı gün 25 satın alma niyetli prompt çalıştırın; platform, görünürlük puanı, marka geçişi, rakip ve kaynak sayısını ekran görüntüleriyle raporlayın. Sonuçları olumlu ya da olumsuz olduğu haliyle yazın.
    Bu çalışma yapılmadan yazıyı yayıma hazır sayma. Test tarihi, prompt sayısı, platformlar, dil/ülke ve yöntem açıkça belirtilsin. Veri üretilemezse sonuç uydurma; “test henüz yapılmadı” notu bırak.
    İÇERİK PLANI
    H2 — Rank Prompt Nedir?
50-60 kelimelik doğrudan tanım verin. Rank Prompt’u AI arama görünürlüğünü ölçen, rakip ve kaynak boşluklarını analiz eden bir platform olarak açıklayın; Google sıralama garantisi vermediğini belirtin.
H2 — Rank Prompt Hangi Problemi Çözüyor?
Klasik rank tracking ile AI yanıtlarındaki marka önerilme/citation takibi arasındaki farkı anlatın.
H2 — Rank Prompt Nasıl Çalışır?
H3: Marka ve sektör tanımı; H3: Prompt seti oluşturma; H3: ChatGPT, Perplexity, Google AI Mode, Claude, Gemini ve Grok taramaları; H3: Görünürlük skoru, rakipler ve kaynaklar; H3: Öneriler ve yeniden tarama.
H2 — Rank Prompt’un Öne Çıkan Özellikleri
AI visibility, citation/source tracking, competitor analysis, scheduled reports, content/SEO audit, GA4/Search Console entegrasyonları ve ajans kullanımını fayda odaklı açıklayın.
H2 — Kimler İçin Uygun, Kimler İçin Gereksiz?
SaaS, e-ticaret, profesyonel hizmetler ve ajansları ayrı değerlendirin. Çok düşük arama talebi olan mikro markalar ile yalnızca klasik keyword rank tracking arayanlar için sınırlamaları dürüstçe yazın.
H2 — Rank Prompt Fiyatlandırması Nasıl Değerlendirilmeli?
Güncel fiyatı yalnızca resmi sayfadan kontrol ederek yazın; kredi mantığını, marka limitlerini, ekip/ajans ihtiyacını ve toplam sahip olma maliyetini açıklayın. Tarih damgası ekleyin.
H2 — Rank Prompt’un Artıları ve Eksileri
En az 4 artı, 4 sınırlama. Veri örneklemi, prompt seçimi, model değişkenliği ve üçüncü taraf araçların erişemediği dahili metrikler konusunda şeffaf olun.
H2 — Rank Prompt ile İlk AI Görünürlük Taraması
Adım adım onboarding ve 25 promptluk başlangıç deneyi verin; ölçülecek KPI’ları tanımlayın.
H2 — Sonuç
Kimin denemesi gerektiğini tek paragrafta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Rank Prompt ücretsiz denenebilir mi?
- Rank Prompt hangi AI platformlarını izler?
- Rank Prompt SEO aracının yerini alır mı?
- AI görünürlük skoru güvenilir mi?
- Rank Prompt ajanslar için uygun mu?
    Her cevap 1–3 cümle olsun; soruyu cevabın içinde doğal biçimde tekrar et.
    İÇ LİNKLER
    - https://ortakalan.io/dextergpt-nedir/ — “AI SEO otomasyonu” anchor metni
- Yayın sonrası /ai-gorunurluk-nedir/ — “AI görünürlük nedir” anchor metni
    Gelecek URL henüz yayımlanmadıysa linki kırık bırakma; içerik yayımlandıktan sonra eklenmek üzere editör notu koy.
    GÖRSEL ÖNERİLERİ
    - rank-prompt-nedir-kapak.webp | Alt: Rank Prompt AI görünürlük platformunu anlatan sade kapak görseli
- rank-prompt-dashboard.webp | Alt: Rank Prompt görünürlük skoru ve rakip paneli ekranı
- rank-prompt-prompt-analizi.webp | Alt: Prompt bazında marka, rakip ve kaynak analizi ekranı
- rank-prompt-is-akisi.webp | Alt: Tarama, analiz, optimizasyon ve yeniden ölçüm iş akışı diyagramı
    Kapak + en az 3 ek görsel kullan. Ekran görüntülerinde tarih ve veri kaynağı belirt; kişisel/müşteri verilerini maskele.
    KAYNAKLAR
    Öncelikle resmi ve birincil kaynakları kullan:
    - https://rankprompt.com/
- https://rankprompt.com/pricing/
- https://rankprompt.com/llm-info/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2" s="117" t="str">
        <x:v>Rank Prompt’u kendi markanızın gerçek promptlarıyla değerlendirmek için platformu bu bağlantıdan inceleyebilirsiniz: https://join.rankprompt.com/zzzuy8sjj9ke-xj5vs Karar vermeden önce güncel kapsamı, fiyatı ve kredi koşullarını resmi sayfada doğrulayın. Şeffaflık notu: Bu bir iş ortaklığı bağlantısıdır; kayıt veya satın alma halinde Ortak Alan komisyon kazanabilir.</x:v>
      </x:c>
      <x:c r="U2" s="117" t="str">
        <x:v>https://ortakalan.io/dextergpt-nedir/ — “AI SEO otomasyonu” anchor metni
Yayın sonrası /ai-gorunurluk-nedir/ — “AI görünürlük nedir” anchor metni</x:v>
      </x:c>
      <x:c r="V2" s="117" t="str">
        <x:v>https://rankprompt.com/
https://rankprompt.com/pricing/
https://rankprompt.com/llm-info/
https://developers.google.com/search/docs/fundamentals/third-party-seo</x:v>
      </x:c>
      <x:c r="W2" s="117" t="str">
        <x:v>Bir Ortak Alan markası veya örnek SaaS için aynı gün 25 satın alma niyetli prompt çalıştırın; platform, görünürlük puanı, marka geçişi, rakip ve kaynak sayısını ekran görüntüleriyle raporlayın. Sonuçları olumlu ya da olumsuz olduğu haliyle yazın.</x:v>
      </x:c>
      <x:c r="X2" s="117" t="str">
        <x:v>rank-prompt-nedir-kapak.webp | Rank Prompt AI görünürlük platformunu anlatan sade kapak görseli
rank-prompt-dashboard.webp | Rank Prompt görünürlük skoru ve rakip paneli ekranı
rank-prompt-prompt-analizi.webp | Prompt bazında marka, rakip ve kaynak analizi ekranı
rank-prompt-is-akisi.webp | Tarama, analiz, optimizasyon ve yeniden ölçüm iş akışı diyagramı</x:v>
      </x:c>
      <x:c r="Y2" s="117" t="str">
        <x:v>12 Temmuz 2026 site aramasında tam eşleşen Rank Prompt yazısı bulunmadı.</x:v>
      </x:c>
      <x:c r="Z2" s="117" t="str">
        <x:f>IF(J2="","",IF(AND(P2&lt;=60,R2&gt;=140,R2&lt;=160),"OK","Check"))</x:f>
        <x:v>OK</x:v>
      </x:c>
      <x:c r="AA2" s="117" t="str">
        <x:v>Türkçe ürün yazıları çoğunlukla özellik listesinden ibaret. Bu yazı; gerçek kullanım akışı, hangi ekip için mantıklı olduğu, ölçüm metodolojisi, veri sınırlamaları ve 'garanti vermez' çerçevesini birlikte sunmalı.</x:v>
      </x:c>
    </x:row>
    <x:row r="3" ht="72" customHeight="1">
      <x:c r="A3" s="117" t="n">
        <x:v>2</x:v>
      </x:c>
      <x:c r="B3" s="117" t="str">
        <x:v>Brief hazır</x:v>
      </x:c>
      <x:c r="C3" s="117" t="n">
        <x:v>2</x:v>
      </x:c>
      <x:c r="D3" s="117" t="str">
        <x:v>Ürün ve temel kavramlar</x:v>
      </x:c>
      <x:c r="E3" s="117" t="str">
        <x:v>Farkındalık</x:v>
      </x:c>
      <x:c r="F3" s="117" t="str">
        <x:v>Pazarlama yöneticileri, marka ekipleri, girişimciler</x:v>
      </x:c>
      <x:c r="G3" s="117" t="str">
        <x:v>What is</x:v>
      </x:c>
      <x:c r="H3" s="117" t="str">
        <x:v>HubSpot “What Is”</x:v>
      </x:c>
      <x:c r="I3" s="117" t="str">
        <x:v>/ai-gorunurluk-nedir/</x:v>
      </x:c>
      <x:c r="J3" s="117" t="str">
        <x:v>AI Görünürlük Nedir? Markalar İçin Ölçüm ve İyileştirme Rehberi</x:v>
      </x:c>
      <x:c r="K3" s="117" t="str">
        <x:v>ai-gorunurluk-nedir</x:v>
      </x:c>
      <x:c r="L3" s="117" t="str">
        <x:v>AI görünürlük nedir</x:v>
      </x:c>
      <x:c r="M3" s="117" t="str">
        <x:v>Bilgilendirici</x:v>
      </x:c>
      <x:c r="N3" s="117" t="str">
        <x:v>yapay zeka görünürlüğü, AI marka görünürlüğü, ChatGPT marka görünürlüğü, LLM görünürlüğü, AI visibility nedir, AI görünürlük skoru, AI arama ölçümü, marka mention takibi, AI citation tracking, GEO ölçümü, AEO performansı, AI share of voice</x:v>
      </x:c>
      <x:c r="O3" s="117" t="str">
        <x:v>AI Görünürlük Nedir? Ölçüm Rehberi</x:v>
      </x:c>
      <x:c r="P3" s="119" t="n">
        <x:f>IF(O3="","",LEN(O3))</x:f>
        <x:v>34</x:v>
      </x:c>
      <x:c r="Q3" s="117" t="str">
        <x:v>AI görünürlük nedir, ChatGPT marka görünürlüğü nasıl ölçülür ve AI görünürlük skoru ne anlatır? Temel metrikleri öğrenin, ilk marka denetiminizi yapın.</x:v>
      </x:c>
      <x:c r="R3" s="119" t="n">
        <x:f>IF(Q3="","",LEN(Q3))</x:f>
        <x:v>151</x:v>
      </x:c>
      <x:c r="S3" s="117" t="str">
        <x:v>TEMPLATE: HubSpot “What Is”
    HEDEF UZUNLUK: 1.500–2.000 kelime; 2.500 kelimeyi geçme.
    OKUYUCU: Pazarlama yöneticileri, marka ekipleri, girişimciler
    FUNNEL AŞAMASI: Farkındalık
    ARAMA NİYETİ: Bilgilendirici
    TON: Profesyonel, anlaşılır, kanıta dayalı ve tarafsız. Reklam dili, abartı, “garantili görünürlük” ve doğrulanmamış üstünlük iddiaları kullanma.
    ANAHTAR KELİMELER
    - Birincil: AI görünürlük nedir
    - İlgili/uzun kuyruklu: yapay zeka görünürlüğü, AI marka görünürlüğü, ChatGPT marka görünürlüğü, LLM görünürlüğü, AI visibility nedir, AI görünürlük skoru, AI arama ölçümü, marka mention takibi, AI citation tracking, GEO ölçümü, AEO performansı, AI share of voice
    - Birincil anahtar kelimeyi ilk 100 kelime içinde doğal biçimde kullan.
    - Anahtar kelimeyi en az 3 başlıkta doğal ve dilbilgisel olarak kullan; keyword stuffing yapma.
    AÇILIŞ
    - H1: AI Görünürlük Nedir? Markalar İçin Ölçüm ve İyileştirme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içeriklerin çoğu AI görünürlüğünü tek bir mention sayısına indiriyor. Bu yazı dört katmanlı bir ölçüm modeli ve örnek hesaplama sunmalı.
    ZORUNLU ÖZGÜN KANIT / PROPRIETARY INFORMATION
    Aynı sektörden üç markayı 20 ortak promptta test edip 'görünme', 'önerilme', 'kaynak gösterilme' ve 'doğru tanımlanma' oranlarını ayrı ayrı gösteren mini veri tablosu oluşturun.
    Bu çalışma yapılmadan yazıyı yayıma hazır sayma. Test tarihi, prompt sayısı, platformlar, dil/ülke ve yöntem açıkça belirtilsin. Veri üretilemezse sonuç uydurma; “test henüz yapılmadı” notu bırak.
    İÇERİK PLANI
    H2 — AI Görünürlük Nedir?
50-60 kelimede doğrudan tanımlayın: Bir markanın AI destekli arama ve yanıt sistemlerinde ne sıklıkta, hangi bağlamda ve hangi kaynaklarla görünür olduğudur.
H2 — AI Görünürlük ile Klasik SEO Görünürlüğü Arasındaki Fark
SERP sırası, yanıt içinde önerilme, citation, sentiment ve prompt kapsamını tabloyla karşılaştırın.
H2 — AI Görünürlüğün Dört Katmanı
H3: Mention; H3: Recommendation; H3: Citation; H3: Brand accuracy/sentiment. Her metrik için neyi ölçtüğünü ve neyi ölçmediğini yazın.
H2 — AI Görünürlük Skoru Nasıl Hesaplanır?
Basit örnek formül verin; prompt ağırlığı ve yüksek niyetli sorguların önemini açıklayın. Araca göre metodolojinin değişebileceğini belirtin.
H2 — AI Görünürlük Neden Önemli?
Satın alma keşfi, güven, marka anlatısının doğruluğu, rakip payı ve trafik üzerindeki etkileri ayrı başlıklarla anlatın; kesin nedensellik iddiasından kaçının.
H2 — AI Görünürlük Nasıl Ölçülür?
Manuel yöntem ve araçla izleme yöntemini karşılaştırın. Platform, konum, dil, tarih ve prompt setini sabitleme gereğini vurgulayın.
H2 — İlk 30 Günlük AI Görünürlük Planı
Hafta 1 baseline, hafta 2 teknik/içerik düzeltmeleri, hafta 3 kaynak geliştirme, hafta 4 yeniden tarama ve rapor.
H2 — Sonuç
Ölçmeden optimizasyon yapılamayacağını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AI görünürlük ile marka bilinirliği aynı şey mi?
- ChatGPT marka görünürlüğü ücretsiz ölçülebilir mi?
- AI görünürlük skoru kaç olmalı?
- AI görünürlüğü ne sıklıkla kontrol edilmeli?
- AI görünürlük satışları doğrudan artırır mı?
    Her cevap 1–3 cümle olsun; soruyu cevabın içinde doğal biçimde tekrar et.
    İÇ LİNKLER
    - /rank-prompt-nedir/ — “AI görünürlük platformu” anchor metni
- https://ortakalan.io/dextergpt-nedir/ — “AI SEO nedir” anchor metni
    Gelecek URL henüz yayımlanmadıysa linki kırık bırakma; içerik yayımlandıktan sonra eklenmek üzere editör notu koy.
    GÖRSEL ÖNERİLERİ
    - ai-gorunurluk-nedir-kapak.webp | Alt: AI görünürlük kavramını marka ve yapay zeka yanıtlarıyla gösteren kapak
- ai-gorunurluk-metrikleri.webp | Alt: Mention, önerilme, citation ve doğruluk metrikleri diyagramı
- seo-vs-ai-gorunurluk.webp | Alt: Klasik SEO görünürlüğü ile AI görünürlüğü karşılaştırma tablosu
- 30-gun-ai-gorunurluk-plani.webp | Alt: 30 günlük AI görünürlük ölçüm ve iyileştirme takvimi
    Kapak + en az 3 ek görsel kullan. Ekran görüntülerinde tarih ve veri kaynağı belirt; kişisel/müşteri verilerini maskele.
    KAYNAKLAR
    Öncelikle resmi ve birincil kaynakları kullan:
    - https://rankprompt.com/llm-info/
- https://developers.google.com/search/docs/appearance/ai-features
- https://developers.google.com/search/docs/fundamentals/ai-optimization-guide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3"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3" s="117" t="str">
        <x:v>/rank-prompt-nedir/ — “AI görünürlük platformu” anchor metni
https://ortakalan.io/dextergpt-nedir/ — “AI SEO nedir” anchor metni</x:v>
      </x:c>
      <x:c r="V3" s="117" t="str">
        <x:v>https://rankprompt.com/llm-info/
https://developers.google.com/search/docs/appearance/ai-features
https://developers.google.com/search/docs/fundamentals/ai-optimization-guide</x:v>
      </x:c>
      <x:c r="W3" s="117" t="str">
        <x:v>Aynı sektörden üç markayı 20 ortak promptta test edip 'görünme', 'önerilme', 'kaynak gösterilme' ve 'doğru tanımlanma' oranlarını ayrı ayrı gösteren mini veri tablosu oluşturun.</x:v>
      </x:c>
      <x:c r="X3" s="117" t="str">
        <x:v>ai-gorunurluk-nedir-kapak.webp | AI görünürlük kavramını marka ve yapay zeka yanıtlarıyla gösteren kapak
ai-gorunurluk-metrikleri.webp | Mention, önerilme, citation ve doğruluk metrikleri diyagramı
seo-vs-ai-gorunurluk.webp | Klasik SEO görünürlüğü ile AI görünürlüğü karşılaştırma tablosu
30-gun-ai-gorunurluk-plani.webp | 30 günlük AI görünürlük ölçüm ve iyileştirme takvimi</x:v>
      </x:c>
      <x:c r="Y3" s="117" t="str">
        <x:v>Tam eşleşen başlık bulunmadı; DexterGPT yazısındaki genel AI SEO bölümüyle kısmi konu yakınlığı var.</x:v>
      </x:c>
      <x:c r="Z3" s="117" t="str">
        <x:f>IF(J3="","",IF(AND(P3&lt;=60,R3&gt;=140,R3&lt;=160),"OK","Check"))</x:f>
        <x:v>OK</x:v>
      </x:c>
      <x:c r="AA3" s="117" t="str">
        <x:v>Rakip içeriklerin çoğu AI görünürlüğünü tek bir mention sayısına indiriyor. Bu yazı dört katmanlı bir ölçüm modeli ve örnek hesaplama sunmalı.</x:v>
      </x:c>
    </x:row>
    <x:row r="4" ht="72" customHeight="1">
      <x:c r="A4" s="117" t="n">
        <x:v>3</x:v>
      </x:c>
      <x:c r="B4" s="117" t="str">
        <x:v>Brief hazır</x:v>
      </x:c>
      <x:c r="C4" s="117" t="n">
        <x:v>3</x:v>
      </x:c>
      <x:c r="D4" s="117" t="str">
        <x:v>Ürün ve temel kavramlar</x:v>
      </x:c>
      <x:c r="E4" s="117" t="str">
        <x:v>Farkındalık</x:v>
      </x:c>
      <x:c r="F4" s="117" t="str">
        <x:v>SEO uzmanları, içerik stratejistleri, pazarlama liderleri</x:v>
      </x:c>
      <x:c r="G4" s="117" t="str">
        <x:v>Pillar</x:v>
      </x:c>
      <x:c r="H4" s="117" t="str">
        <x:v>HubSpot Pillar Page</x:v>
      </x:c>
      <x:c r="I4" s="117" t="str">
        <x:v>/aeo-geo-seo-farki/</x:v>
      </x:c>
      <x:c r="J4" s="117" t="str">
        <x:v>AEO, GEO ve SEO Arasındaki Farklar: Hangi Strateji Ne Zaman Kullanılır?</x:v>
      </x:c>
      <x:c r="K4" s="117" t="str">
        <x:v>aeo-geo-seo-farki</x:v>
      </x:c>
      <x:c r="L4" s="117" t="str">
        <x:v>AEO GEO SEO farkı</x:v>
      </x:c>
      <x:c r="M4" s="117" t="str">
        <x:v>Bilgilendirici / karşılaştırmalı</x:v>
      </x:c>
      <x:c r="N4" s="117" t="str">
        <x:v>AEO nedir, GEO nedir, SEO nedir, answer engine optimization, generative engine optimization, LLMO nedir, AI SEO, AEO ve SEO farkı, GEO ve SEO farkı, AI arama optimizasyonu, cevap motoru optimizasyonu, üretken arama optimizasyonu</x:v>
      </x:c>
      <x:c r="O4" s="117" t="str">
        <x:v>AEO, GEO ve SEO Arasındaki Farklar</x:v>
      </x:c>
      <x:c r="P4" s="119" t="n">
        <x:f>IF(O4="","",LEN(O4))</x:f>
        <x:v>34</x:v>
      </x:c>
      <x:c r="Q4" s="117" t="str">
        <x:v>AEO, GEO ve SEO farkı nedir; answer engine optimization ile generative engine optimization nasıl ayrılır? Karşılaştırmayı okuyun, doğru stratejiyi seçin.</x:v>
      </x:c>
      <x:c r="R4" s="119" t="n">
        <x:f>IF(Q4="","",LEN(Q4))</x:f>
        <x:v>153</x:v>
      </x:c>
      <x:c r="S4" s="117" t="str">
        <x:v>TEMPLATE: HubSpot Pillar Page
    HEDEF UZUNLUK: 1.500–2.000 kelime; 2.500 kelimeyi geçme.
    OKUYUCU: SEO uzmanları, içerik stratejistleri, pazarlama liderleri
    FUNNEL AŞAMASI: Farkındalık
    ARAMA NİYETİ: Bilgilendirici / karşılaştırmalı
    TON: Profesyonel, anlaşılır, kanıta dayalı ve tarafsız. Reklam dili, abartı, “garantili görünürlük” ve doğrulanmamış üstünlük iddiaları kullanma.
    ANAHTAR KELİMELER
    - Birincil: AEO GEO SEO farkı
    - İlgili/uzun kuyruklu: AEO nedir, GEO nedir, SEO nedir, answer engine optimization, generative engine optimization, LLMO nedir, AI SEO, AEO ve SEO farkı, GEO ve SEO farkı, AI arama optimizasyonu, cevap motoru optimizasyonu, üretken arama optimizasyonu
    - Birincil anahtar kelimeyi ilk 100 kelime içinde doğal biçimde kullan.
    - Anahtar kelimeyi en az 3 başlıkta doğal ve dilbilgisel olarak kullan; keyword stuffing yapma.
    AÇILIŞ
    - H1: AEO, GEO ve SEO Arasındaki Farklar: Hangi Strateji Ne Zaman Kullanılır?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içerik terimleri birbirinin yerine kullanıyor. Yazı Google’ın resmi yaklaşımını da dahil ederek terimlerin pazarlama etiketleri ile uygulanabilir iş kalemlerini ayırmalı.
    ZORUNLU ÖZGÜN KANIT / PROPRIETARY INFORMATION
    Ortak Alan için tek bir içerik sayfasını üç mercekten değerlendiren gerçek bir mini audit ekleyin: klasik SEO sinyalleri, cevaplanabilirlik ve AI citation/brand visibility.
    Bu çalışma yapılmadan yazıyı yayıma hazır sayma. Test tarihi, prompt sayısı, platformlar, dil/ülke ve yöntem açıkça belirtilsin. Veri üretilemezse sonuç uydurma; “test henüz yapılmadı” notu bırak.
    İÇERİK PLANI
    H2 — SEO, AEO ve GEO Kısaca Ne Anlama Gelir?
Her terimi 2-3 cümlede tanımlayın ve aynı hedefe giden farklı ölçüm katmanları olduğunu açıklayın.
H2 — AEO, GEO ve SEO Karşılaştırma Tablosu
Hedef, kanal, çıktı, KPI, içerik formatı, teknik gereksinim ve ölçüm araçları sütunlarıyla karşılaştırın.
H2 — SEO Ne Zaman Önceliklidir?
İndekslenme, organik trafik, ticari sayfa sıralaması ve site sağlığı için temel rolünü anlatın.
H2 — AEO Ne Zaman Önceliklidir?
Doğrudan cevaplar, FAQ, featured snippet, sesli ve cevap motoru kullanım senaryolarını açıklayın.
H2 — GEO Ne Zaman Önceliklidir?
AI üretilen yanıtlarda mention, recommendation, citation ve brand perception hedeflerini açıklayın.
H2 — Google Bu Terimlere Nasıl Yaklaşıyor?
Google’ın generative AI search için temel SEO uygulamalarının geçerli olduğu ve özel 'hack' gerekmediği resmi görüşünü doğru bağlamda aktarın.
H2 — Üç Stratejiyi Tek Yol Haritasında Birleştirme
Teknik erişilebilirlik → people-first içerik → net entity sinyalleri → üçüncü taraf otorite → prompt bazlı ölçüm akışını verin.
H2 — Örnek: Bir SaaS Sayfasını SEO, AEO ve GEO İçin Optimize Etmek
Aynı sayfada title/internal link, kısa cevap, özgün veri, Organization/SoftwareApplication schema ve citation geliştirme örneği verin.
H2 — Sonuç
Terim tartışması yerine iş hedefi ve KPI seçimini vurgulayın.
    SONUÇ
    - 100–150 kelime.
    - Yalnızca ana bulguları özetle; yeni bilgi veya yeni iddia ekleme.
    - CTA’yı tek paragrafta, doğal ve baskısız biçimde kullan.
    SSS
    3–7 soru kullan; aşağıdaki sorular long-tail hedefleridir ve mevcut H2’leri tekrar etmemelidir:
    - LLMO ile GEO aynı şey mi?
- AEO SEO’nun yerini alır mı?
- GEO için ayrı bir ekip gerekir mi?
- AEO çalışmaları Google sıralamasını etkiler mi?
- Küçük işletmeler önce SEO mu GEO mu yapmalı?
    Her cevap 1–3 cümle olsun; soruyu cevabın içinde doğal biçimde tekrar et.
    İÇ LİNKLER
    - /ai-gorunurluk-nedir/ — “AI görünürlük” anchor metni
- https://ortakalan.io/dextergpt-nedir/ — “AI SEO otomasyonu” anchor metni
    Gelecek URL henüz yayımlanmadıysa linki kırık bırakma; içerik yayımlandıktan sonra eklenmek üzere editör notu koy.
    GÖRSEL ÖNERİLERİ
    - aeo-geo-seo-farki-kapak.webp | Alt: AEO GEO ve SEO kavramlarını üç kesişen daireyle gösteren kapak
- aeo-geo-seo-karsilastirma.webp | Alt: AEO GEO ve SEO karşılaştırma matrisi
- arama-optimizasyonu-yol-haritasi.webp | Alt: SEO’dan AI görünürlüğüne birleşik optimizasyon yol haritası
- saas-sayfa-audit-ornegi.webp | Alt: Bir SaaS sayfasının SEO AEO GEO mini audit görseli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https://developers.google.com/search/docs/appearance/ai-features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4"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4" s="117" t="str">
        <x:v>/ai-gorunurluk-nedir/ — “AI görünürlük” anchor metni
https://ortakalan.io/dextergpt-nedir/ — “AI SEO otomasyonu” anchor metni</x:v>
      </x:c>
      <x:c r="V4" s="117" t="str">
        <x:v>https://developers.google.com/search/docs/fundamentals/ai-optimization-guide
https://developers.google.com/search/docs/appearance/ai-features
https://developers.google.com/search/docs/fundamentals/third-party-seo</x:v>
      </x:c>
      <x:c r="W4" s="117" t="str">
        <x:v>Ortak Alan için tek bir içerik sayfasını üç mercekten değerlendiren gerçek bir mini audit ekleyin: klasik SEO sinyalleri, cevaplanabilirlik ve AI citation/brand visibility.</x:v>
      </x:c>
      <x:c r="X4" s="117" t="str">
        <x:v>aeo-geo-seo-farki-kapak.webp | AEO GEO ve SEO kavramlarını üç kesişen daireyle gösteren kapak
aeo-geo-seo-karsilastirma.webp | AEO GEO ve SEO karşılaştırma matrisi
arama-optimizasyonu-yol-haritasi.webp | SEO’dan AI görünürlüğüne birleşik optimizasyon yol haritası
saas-sayfa-audit-ornegi.webp | Bir SaaS sayfasının SEO AEO GEO mini audit görseli</x:v>
      </x:c>
      <x:c r="Y4" s="117" t="str">
        <x:v>Site aramasında AEO/GEO odaklı bağımsız bir yazı bulunmadı; DexterGPT yazısı AI SEO’ya kısa giriş yapıyor.</x:v>
      </x:c>
      <x:c r="Z4" s="117" t="str">
        <x:f>IF(J4="","",IF(AND(P4&lt;=60,R4&gt;=140,R4&lt;=160),"OK","Check"))</x:f>
        <x:v>OK</x:v>
      </x:c>
      <x:c r="AA4" s="117" t="str">
        <x:v>Birçok içerik terimleri birbirinin yerine kullanıyor. Yazı Google’ın resmi yaklaşımını da dahil ederek terimlerin pazarlama etiketleri ile uygulanabilir iş kalemlerini ayırmalı.</x:v>
      </x:c>
    </x:row>
    <x:row r="5" ht="72" customHeight="1">
      <x:c r="A5" s="117" t="n">
        <x:v>4</x:v>
      </x:c>
      <x:c r="B5" s="117" t="str">
        <x:v>Brief hazır</x:v>
      </x:c>
      <x:c r="C5" s="117" t="n">
        <x:v>4</x:v>
      </x:c>
      <x:c r="D5" s="117" t="str">
        <x:v>Ürün ve temel kavramlar</x:v>
      </x:c>
      <x:c r="E5" s="117" t="str">
        <x:v>Değerlendirme</x:v>
      </x:c>
      <x:c r="F5" s="117" t="str">
        <x:v>SEO analistleri, pazarlama yöneticileri, ajans raporlama ekipleri</x:v>
      </x:c>
      <x:c r="G5" s="117" t="str">
        <x:v>What is</x:v>
      </x:c>
      <x:c r="H5" s="117" t="str">
        <x:v>HubSpot “What Is”</x:v>
      </x:c>
      <x:c r="I5" s="117" t="str">
        <x:v>/ai-gorunurluk-skoru/</x:v>
      </x:c>
      <x:c r="J5" s="117" t="str">
        <x:v>AI Görünürlük Skoru Nedir? Hesaplama, Benchmark ve Yorumlama</x:v>
      </x:c>
      <x:c r="K5" s="117" t="str">
        <x:v>ai-gorunurluk-skoru</x:v>
      </x:c>
      <x:c r="L5" s="117" t="str">
        <x:v>AI görünürlük skoru</x:v>
      </x:c>
      <x:c r="M5" s="117" t="str">
        <x:v>Bilgilendirici</x:v>
      </x:c>
      <x:c r="N5" s="117" t="str">
        <x:v>AI visibility score, ChatGPT görünürlük skoru, LLM visibility score, AI share of voice, marka mention oranı, AI citation oranı, prompt coverage, AI benchmark, rakip görünürlük skoru, AI sıralama metriği, GEO KPI, AI görünürlük ölçümü</x:v>
      </x:c>
      <x:c r="O5" s="117" t="str">
        <x:v>AI Görünürlük Skoru Nedir?</x:v>
      </x:c>
      <x:c r="P5" s="119" t="n">
        <x:f>IF(O5="","",LEN(O5))</x:f>
        <x:v>26</x:v>
      </x:c>
      <x:c r="Q5" s="117" t="str">
        <x:v>AI görünürlük skoru nasıl hesaplanır, iyi skor kaçtır ve ChatGPT görünürlük metriği nasıl yorumlanır? Örnek formülü görün, kendi benchmark’ınızı kurun.</x:v>
      </x:c>
      <x:c r="R5" s="119" t="n">
        <x:f>IF(Q5="","",LEN(Q5))</x:f>
        <x:v>151</x:v>
      </x:c>
      <x:c r="S5" s="117" t="str">
        <x:v>TEMPLATE: HubSpot “What Is”
    HEDEF UZUNLUK: 1.500–2.000 kelime; 2.500 kelimeyi geçme.
    OKUYUCU: SEO analistleri, pazarlama yöneticileri, ajans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skoru
    - İlgili/uzun kuyruklu: AI visibility score, ChatGPT görünürlük skoru, LLM visibility score, AI share of voice, marka mention oranı, AI citation oranı, prompt coverage, AI benchmark, rakip görünürlük skoru, AI sıralama metriği, GEO KPI, AI görünürlük ölçümü
    - Birincil anahtar kelimeyi ilk 100 kelime içinde doğal biçimde kullan.
    - Anahtar kelimeyi en az 3 başlıkta doğal ve dilbilgisel olarak kullan; keyword stuffing yapma.
    AÇILIŞ
    - H1: AI Görünürlük Skoru Nedir? Hesaplama, Benchmark ve Yorumlama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yazılar genellikle araca ait tek yüzdeyi açıklıyor. Bu yazı skoru bileşenlerine ayırmalı, örneklem yanlılığını ve yanlış karşılaştırma riskini göstermeli.
    ZORUNLU ÖZGÜN KANIT / PROPRIETARY INFORMATION
    Ağırlıklı ve ağırlıksız iki ayrı skor modeli oluşturun; 30 promptluk örnek veriyle yüksek niyetli promptların toplam skoru nasıl değiştirdiğini hesaplayın.
    Bu çalışma yapılmadan yazıyı yayıma hazır sayma. Test tarihi, prompt sayısı, platformlar, dil/ülke ve yöntem açıkça belirtilsin. Veri üretilemezse sonuç uydurma; “test henüz yapılmadı” notu bırak.
    İÇERİK PLANI
    H2 — AI Görünürlük Skoru Nedir?
Skorun, seçilen prompt setinde bir markanın görünme ve/veya önerilme oranını özetleyen araç bağımlı bir metrik olduğunu açıklayın.
H2 — AI Görünürlük Skorunun Bileşenleri
Prompt coverage, mention rate, recommendation rate, citation rate, position, sentiment ve platform kapsamını tanımlayın.
H2 — Basit AI Görünürlük Skoru Nasıl Hesaplanır?
Formül ve 10 promptluk sayısal örnek verin.
H2 — Ağırlıklı Skor Neden Daha Anlamlı Olabilir?
Yüksek satın alma niyetli promptlara ağırlık verme örneği ve risklerini anlatın.
H2 — İyi AI Görünürlük Skoru Kaçtır?
Evrensel eşik olmadığını; sektör, marka bilinirliği, prompt seti ve rakip sayısına göre benchmark kurulması gerektiğini vurgulayın.
H2 — Skoru Yanlış Yorumlamanın 6 Yolu
Az prompt, farklı tarih/model, sadece mention, marka sorguları, lokasyon/dil farkı, citation kalitesini yok sayma.
H2 — Kendi Benchmark’ınızı Nasıl Kurarsınız?
Baseline, 3-5 rakip, sabit prompt seti, platform bazlı kırılım, aylık yeniden tarama ve değişiklik günlüğü adımları.
H2 — Sonuç
Skoru tek başına hedef değil, karar destek metriği olarak konumlandırın.
    SONUÇ
    - 100–150 kelime.
    - Yalnızca ana bulguları özetle; yeni bilgi veya yeni iddia ekleme.
    - CTA’yı tek paragrafta, doğal ve baskısız biçimde kullan.
    SSS
    3–7 soru kullan; aşağıdaki sorular long-tail hedefleridir ve mevcut H2’leri tekrar etmemelidir:
    - AI görünürlük skoru yüzde kaç olmalı?
- AI görünürlük skoru neden her araçta farklıdır?
- Marka sorguları skora dahil edilmeli mi?
- AI share of voice nasıl hesaplanır?
- Görünürlük skoru ne sıklıkla güncellenmeli?
    Her cevap 1–3 cümle olsun; soruyu cevabın içinde doğal biçimde tekrar et.
    İÇ LİNKLER
    - /ai-gorunurluk-nedir/ — “AI görünürlük nedir” anchor metni
- /rank-prompt-nedir/ — “AI görünürlük skoru ölçen araç” anchor metni
    Gelecek URL henüz yayımlanmadıysa linki kırık bırakma; içerik yayımlandıktan sonra eklenmek üzere editör notu koy.
    GÖRSEL ÖNERİLERİ
    - ai-gorunurluk-skoru-kapak.webp | Alt: AI görünürlük skoru göstergesi ve marka ikonları
- ai-skor-formulu.webp | Alt: AI görünürlük skoru örnek hesaplama formülü
- agirlikli-ai-skoru.webp | Alt: Ağırlıklı ve ağırlıksız AI görünürlük skoru karşılaştırması
- ai-benchmark-dashboard.webp | Alt: Rakiplere göre AI görünürlük benchmark dashboard örneği
    Kapak + en az 3 ek görsel kullan. Ekran görüntülerinde tarih ve veri kaynağı belirt; kişisel/müşteri verilerini maskele.
    KAYNAKLAR
    Öncelikle resmi ve birincil kaynakları kullan:
    - https://rankprompt.com/llm-info/
- https://rankprompt.com/ai-visibility-benchmarks-where-do-you-stand/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5"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5" s="117" t="str">
        <x:v>/ai-gorunurluk-nedir/ — “AI görünürlük nedir” anchor metni
/rank-prompt-nedir/ — “AI görünürlük skoru ölçen araç” anchor metni</x:v>
      </x:c>
      <x:c r="V5" s="117" t="str">
        <x:v>https://rankprompt.com/llm-info/
https://rankprompt.com/ai-visibility-benchmarks-where-do-you-stand/</x:v>
      </x:c>
      <x:c r="W5" s="117" t="str">
        <x:v>Ağırlıklı ve ağırlıksız iki ayrı skor modeli oluşturun; 30 promptluk örnek veriyle yüksek niyetli promptların toplam skoru nasıl değiştirdiğini hesaplayın.</x:v>
      </x:c>
      <x:c r="X5" s="117" t="str">
        <x:v>ai-gorunurluk-skoru-kapak.webp | AI görünürlük skoru göstergesi ve marka ikonları
ai-skor-formulu.webp | AI görünürlük skoru örnek hesaplama formülü
agirlikli-ai-skoru.webp | Ağırlıklı ve ağırlıksız AI görünürlük skoru karşılaştırması
ai-benchmark-dashboard.webp | Rakiplere göre AI görünürlük benchmark dashboard örneği</x:v>
      </x:c>
      <x:c r="Y5" s="117" t="str">
        <x:v>Tam eşleşen bağımsız içerik bulunmadı.</x:v>
      </x:c>
      <x:c r="Z5" s="117" t="str">
        <x:f>IF(J5="","",IF(AND(P5&lt;=60,R5&gt;=140,R5&lt;=160),"OK","Check"))</x:f>
        <x:v>OK</x:v>
      </x:c>
      <x:c r="AA5" s="117" t="str">
        <x:v>Rakip yazılar genellikle araca ait tek yüzdeyi açıklıyor. Bu yazı skoru bileşenlerine ayırmalı, örneklem yanlılığını ve yanlış karşılaştırma riskini göstermeli.</x:v>
      </x:c>
    </x:row>
    <x:row r="6" ht="72" customHeight="1">
      <x:c r="A6" s="117" t="n">
        <x:v>5</x:v>
      </x:c>
      <x:c r="B6" s="117" t="str">
        <x:v>Brief hazır</x:v>
      </x:c>
      <x:c r="C6" s="117" t="n">
        <x:v>5</x:v>
      </x:c>
      <x:c r="D6" s="117" t="str">
        <x:v>Ölçüm ve raporlama</x:v>
      </x:c>
      <x:c r="E6" s="117" t="str">
        <x:v>Değerlendirme</x:v>
      </x:c>
      <x:c r="F6" s="117" t="str">
        <x:v>Marka yöneticileri, SEO uzmanları, SaaS ve e-ticaret ekipleri</x:v>
      </x:c>
      <x:c r="G6" s="117" t="str">
        <x:v>How-to</x:v>
      </x:c>
      <x:c r="H6" s="117" t="str">
        <x:v>Contact Studios How-To — ürün tie-in</x:v>
      </x:c>
      <x:c r="I6" s="117" t="str">
        <x:v>/chatgpt-marka-gorunurlugu-olcme/</x:v>
      </x:c>
      <x:c r="J6" s="117" t="str">
        <x:v>ChatGPT’de Marka Görünürlüğü Nasıl Ölçülür? 8 Adımlı Sistem</x:v>
      </x:c>
      <x:c r="K6" s="117" t="str">
        <x:v>chatgpt-marka-gorunurlugu-olcme</x:v>
      </x:c>
      <x:c r="L6" s="117" t="str">
        <x:v>ChatGPT marka görünürlüğü ölçme</x:v>
      </x:c>
      <x:c r="M6" s="117" t="str">
        <x:v>Bilgilendirici / ticari araştırma</x:v>
      </x:c>
      <x:c r="N6" s="117" t="str">
        <x:v>ChatGPT marka takibi, ChatGPT’de görünürlük, ChatGPT mention tracking, ChatGPT brand monitoring, ChatGPT öneri takibi, AI marka ölçümü, ChatGPT citation tracking, ChatGPT rakip analizi, LLM prompt tracking, ChatGPT görünürlük raporu, AI share of voice, ChatGPT marka denetimi</x:v>
      </x:c>
      <x:c r="O6" s="117" t="str">
        <x:v>ChatGPT Marka Görünürlüğü Nasıl Ölçülür?</x:v>
      </x:c>
      <x:c r="P6" s="119" t="n">
        <x:f>IF(O6="","",LEN(O6))</x:f>
        <x:v>40</x:v>
      </x:c>
      <x:c r="Q6" s="117" t="str">
        <x:v>ChatGPT marka görünürlüğü nasıl ölçülür ve ChatGPT’de marka takibi hangi metriklerle yapılır? 8 adımlı sistemi uygulayın, sonuçları düzenli olarak izleyin.</x:v>
      </x:c>
      <x:c r="R6" s="119" t="n">
        <x:f>IF(Q6="","",LEN(Q6))</x:f>
        <x:v>155</x:v>
      </x:c>
      <x:c r="S6" s="117" t="str">
        <x:v>TEMPLATE: Contact Studios How-To — ürün tie-in
    HEDEF UZUNLUK: 1.500–2.000 kelime; 2.500 kelimeyi geçme.
    OKUYUCU: Marka yöneticileri, SEO uzmanları, SaaS ve e-ticaret ekipleri
    FUNNEL AŞAMASI: Değerlendirme
    ARAMA NİYETİ: Bilgilendirici / ticari araştırma
    TON: Profesyonel, anlaşılır, kanıta dayalı ve tarafsız. Reklam dili, abartı, “garantili görünürlük” ve doğrulanmamış üstünlük iddiaları kullanma.
    ANAHTAR KELİMELER
    - Birincil: ChatGPT marka görünürlüğü ölçme
    - İlgili/uzun kuyruklu: ChatGPT marka takibi, ChatGPT’de görünürlük, ChatGPT mention tracking, ChatGPT brand monitoring, ChatGPT öneri takibi, AI marka ölçümü, ChatGPT citation tracking, ChatGPT rakip analizi, LLM prompt tracking, ChatGPT görünürlük raporu, AI share of voice, ChatGPT marka denetimi
    - Birincil anahtar kelimeyi ilk 100 kelime içinde doğal biçimde kullan.
    - Anahtar kelimeyi en az 3 başlıkta doğal ve dilbilgisel olarak kullan; keyword stuffing yapma.
    AÇILIŞ
    - H1: ChatGPT’de Marka Görünürlüğü Nasıl Ölçülür? 8 Adımlı Sistem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rehberler genellikle birkaç manuel sorgu öneriyor. Bu yazı prompt örneklemi, tekrar sayısı, tarih/model kaydı ve ağırlıklı KPI ile yeniden üretilebilir bir protokol vermeli.
    ZORUNLU ÖZGÜN KANIT / PROPRIETARY INFORMATION
    Türkiye pazarında bir kategori için 30 marka dışı promptu üç niyet seviyesine ayırın; aynı gün iki tekrar yaparak cevap değişkenliğini ve marka görünme oranını tabloya ekleyin.
    Bu çalışma yapılmadan yazıyı yayıma hazır sayma. Test tarihi, prompt sayısı, platformlar, dil/ülke ve yöntem açıkça belirtilsin. Veri üretilemezse sonuç uydurma; “test henüz yapılmadı” notu bırak.
    İÇERİK PLANI
    H2 — ChatGPT Marka Görünürlüğü Ölçmeden Önce Bilmeniz Gerekenler
Tek bir sohbetin temsil edici olmadığını; model, tarih, konum ve prompt formunun sonuçları etkileyebileceğini açıklayın.
H2 — ChatGPT Marka Görünürlüğü Ölçme Adımları
Öne çıkan 8 adımı numaralı kısa liste olarak verin.
H2 — 1. İş Hedefini ve Kategoriyi Tanımlayın
Keşif, karşılaştırma, satın alma ve destek amaçlarını ayırın.
H2 — 2. Marka Dışı Prompt Seti Oluşturun
En az 25-50 prompt; problem, kategori, karşılaştırma ve yerel niyet örnekleri verin.
H2 — 3. Rakip Setini Sabitleyin
3-5 doğrudan rakip ve kategori lideri seçin.
H2 — 4. Test Koşullarını Kaydedin
Tarih, model, dil, ülke, oturum durumu ve prompt metni.
H2 — 5. Mention, Öneri, Sıra ve Citation Verisini Toplayın
Her KPI için veri sözlüğü oluşturun.
H2 — 6. Sonuçları Ağırlıklandırın
Yüksek niyetli promptlara daha fazla ağırlık verin.
H2 — 7. Boşlukları İçerik, Teknik ve Otorite Olarak Sınıflandırın
Her boşluk için sahip, aksiyon ve son tarih belirleyin.
H2 — 8. Aynı Promptlarla Yeniden Ölçün
Değişiklik günlüğü ve aylık trend oluşturun.
H2 — Manuel Ölçüm mü, AI Görünürlük Aracı mı?
Zaman, tutarlılık, ölçek, arşiv ve raporlama açısından karşılaştırın; Rank Prompt’u yalnızca ilgili çözüm örneği olarak konumlandırın.
H2 — Sonuç
Tek seferlik test yerine sabit protokolün önemini özetleyin.
    SONUÇ
    - 100–150 kelime.
    - Yalnızca ana bulguları özetle; yeni bilgi veya yeni iddia ekleme.
    - CTA’yı tek paragrafta, doğal ve baskısız biçimde kullan.
    SSS
    3–7 soru kullan; aşağıdaki sorular long-tail hedefleridir ve mevcut H2’leri tekrar etmemelidir:
    - ChatGPT marka görünürlüğü ücretsiz nasıl ölçülür?
- ChatGPT aynı soruya neden farklı marka önerir?
- Kaç prompt ile güvenilir sonuç alınır?
- ChatGPT’de marka sırası nasıl kaydedilir?
- ChatGPT görünürlük takibi aylık mı yapılmalı?
    Her cevap 1–3 cümle olsun; soruyu cevabın içinde doğal biçimde tekrar et.
    İÇ LİNKLER
    - /ai-gorunurluk-skoru/ — “AI görünürlük skoru” anchor metni
- /rank-prompt-nedir/ — “otomatik ChatGPT görünürlük takibi” anchor metni
    Gelecek URL henüz yayımlanmadıysa linki kırık bırakma; içerik yayımlandıktan sonra eklenmek üzere editör notu koy.
    GÖRSEL ÖNERİLERİ
    - chatgpt-marka-gorunurlugu-kapak.webp | Alt: ChatGPT yanıtında marka görünürlüğü ölçümünü gösteren kapak
- chatgpt-prompt-seti.webp | Alt: Keşif karşılaştırma ve satın alma prompt seti örnekleri
- chatgpt-gorunurluk-tablosu.webp | Alt: Mention öneri sıra ve citation veri toplama tablosu
- chatgpt-olcum-is-akisi.webp | Alt: 8 adımlı ChatGPT marka görünürlüğü ölçüm akışı
    Kapak + en az 3 ek görsel kullan. Ekran görüntülerinde tarih ve veri kaynağı belirt; kişisel/müşteri verilerini maskele.
    KAYNAKLAR
    Öncelikle resmi ve birincil kaynakları kullan:
    - https://rankprompt.com/
- https://help.openai.com/en/articles/12627856-publishers-and-developers-faq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6"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6" s="117" t="str">
        <x:v>/ai-gorunurluk-skoru/ — “AI görünürlük skoru” anchor metni
/rank-prompt-nedir/ — “otomatik ChatGPT görünürlük takibi” anchor metni</x:v>
      </x:c>
      <x:c r="V6" s="117" t="str">
        <x:v>https://rankprompt.com/
https://help.openai.com/en/articles/12627856-publishers-and-developers-faq</x:v>
      </x:c>
      <x:c r="W6" s="117" t="str">
        <x:v>Türkiye pazarında bir kategori için 30 marka dışı promptu üç niyet seviyesine ayırın; aynı gün iki tekrar yaparak cevap değişkenliğini ve marka görünme oranını tabloya ekleyin.</x:v>
      </x:c>
      <x:c r="X6" s="117" t="str">
        <x:v>chatgpt-marka-gorunurlugu-kapak.webp | ChatGPT yanıtında marka görünürlüğü ölçümünü gösteren kapak
chatgpt-prompt-seti.webp | Keşif karşılaştırma ve satın alma prompt seti örnekleri
chatgpt-gorunurluk-tablosu.webp | Mention öneri sıra ve citation veri toplama tablosu
chatgpt-olcum-is-akisi.webp | 8 adımlı ChatGPT marka görünürlüğü ölçüm akışı</x:v>
      </x:c>
      <x:c r="Y6" s="117" t="str">
        <x:v>Tam eşleşen içerik bulunmadı.</x:v>
      </x:c>
      <x:c r="Z6" s="117" t="str">
        <x:f>IF(J6="","",IF(AND(P6&lt;=60,R6&gt;=140,R6&lt;=160),"OK","Check"))</x:f>
        <x:v>OK</x:v>
      </x:c>
      <x:c r="AA6" s="117" t="str">
        <x:v>Mevcut rehberler genellikle birkaç manuel sorgu öneriyor. Bu yazı prompt örneklemi, tekrar sayısı, tarih/model kaydı ve ağırlıklı KPI ile yeniden üretilebilir bir protokol vermeli.</x:v>
      </x:c>
    </x:row>
    <x:row r="7" ht="72" customHeight="1">
      <x:c r="A7" s="117" t="n">
        <x:v>6</x:v>
      </x:c>
      <x:c r="B7" s="117" t="str">
        <x:v>Brief hazır</x:v>
      </x:c>
      <x:c r="C7" s="117" t="n">
        <x:v>6</x:v>
      </x:c>
      <x:c r="D7" s="117" t="str">
        <x:v>Ölçüm ve raporlama</x:v>
      </x:c>
      <x:c r="E7" s="117" t="str">
        <x:v>Değerlendirme</x:v>
      </x:c>
      <x:c r="F7" s="117" t="str">
        <x:v>SEO ve growth ekipleri, veri analistleri, ajanslar</x:v>
      </x:c>
      <x:c r="G7" s="117" t="str">
        <x:v>How-to</x:v>
      </x:c>
      <x:c r="H7" s="117" t="str">
        <x:v>Contact Studios How-To — ürün tie-in</x:v>
      </x:c>
      <x:c r="I7" s="117" t="str">
        <x:v>/llm-gorunurluk-takibi/</x:v>
      </x:c>
      <x:c r="J7" s="117" t="str">
        <x:v>LLM Görünürlük Takibi Nasıl Yapılır? Platformlar Arası Rehber</x:v>
      </x:c>
      <x:c r="K7" s="117" t="str">
        <x:v>llm-gorunurluk-takibi</x:v>
      </x:c>
      <x:c r="L7" s="117" t="str">
        <x:v>LLM görünürlük takibi</x:v>
      </x:c>
      <x:c r="M7" s="117" t="str">
        <x:v>Bilgilendirici / ticari araştırma</x:v>
      </x:c>
      <x:c r="N7" s="117" t="str">
        <x:v>LLM marka takibi, AI visibility tracking, ChatGPT Gemini marka takibi, Perplexity görünürlük takibi, Claude marka görünürlüğü, Grok marka takibi, AI platform karşılaştırması, prompt monitoring, LLM citation tracking, AI mention tracking, multi-LLM tracking, AI visibility dashboard</x:v>
      </x:c>
      <x:c r="O7" s="117" t="str">
        <x:v>LLM Görünürlük Takibi Nasıl Yapılır?</x:v>
      </x:c>
      <x:c r="P7" s="119" t="n">
        <x:f>IF(O7="","",LEN(O7))</x:f>
        <x:v>36</x:v>
      </x:c>
      <x:c r="Q7" s="117" t="str">
        <x:v>LLM görünürlük takibi nasıl yapılır, AI platformları arası marka görünürlüğü nasıl karşılaştırılır? Prompt setini kurun, KPI’ları ölçün, trendleri izleyin.</x:v>
      </x:c>
      <x:c r="R7" s="119" t="n">
        <x:f>IF(Q7="","",LEN(Q7))</x:f>
        <x:v>155</x:v>
      </x:c>
      <x:c r="S7" s="117" t="str">
        <x:v>TEMPLATE: Contact Studios How-To — ürün tie-in
    HEDEF UZUNLUK: 1.500–2.000 kelime; 2.500 kelimeyi geçme.
    OKUYUCU: SEO ve growth ekipleri, veri analistleri, ajanslar
    FUNNEL AŞAMASI: Değerlendirme
    ARAMA NİYETİ: Bilgilendirici / ticari araştırma
    TON: Profesyonel, anlaşılır, kanıta dayalı ve tarafsız. Reklam dili, abartı, “garantili görünürlük” ve doğrulanmamış üstünlük iddiaları kullanma.
    ANAHTAR KELİMELER
    - Birincil: LLM görünürlük takibi
    - İlgili/uzun kuyruklu: LLM marka takibi, AI visibility tracking, ChatGPT Gemini marka takibi, Perplexity görünürlük takibi, Claude marka görünürlüğü, Grok marka takibi, AI platform karşılaştırması, prompt monitoring, LLM citation tracking, AI mention tracking, multi-LLM tracking, AI visibility dashboard
    - Birincil anahtar kelimeyi ilk 100 kelime içinde doğal biçimde kullan.
    - Anahtar kelimeyi en az 3 başlıkta doğal ve dilbilgisel olarak kullan; keyword stuffing yapma.
    AÇILIŞ
    - H1: LLM Görünürlük Takibi Nasıl Yapılır? Platformlar Arası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içerik tek platforma odaklanıyor veya araç listesi veriyor. Bu yazı platformlar arası standardizasyon ve sonuçların neden doğrudan eşitlenemeyeceğini açıklamalı.
    ZORUNLU ÖZGÜN KANIT / PROPRIETARY INFORMATION
    Aynı 15 promptu altı platformda çalıştırın; marka var/yok, öneri sırası, kaynak linki ve cevap tutarlılığını platform bazında karşılaştıran özgün 6x15 matris yayınlayın.
    Bu çalışma yapılmadan yazıyı yayıma hazır sayma. Test tarihi, prompt sayısı, platformlar, dil/ülke ve yöntem açıkça belirtilsin. Veri üretilemezse sonuç uydurma; “test henüz yapılmadı” notu bırak.
    İÇERİK PLANI
    H2 — LLM Görünürlük Takibi Nedir?
Bir markanın farklı büyük dil modeli ve AI arama arayüzlerinde ne ölçüde temsil edildiğini düzenli izleme süreci olarak tanımlayın.
H2 — Neden Tek Bir AI Platformu Yeterli Değil?
Kapsam, kaynak kullanımı, kullanıcı kitlesi ve cevap formatı farklarını açıklayın.
H2 — Platformlar Arası Ölçüm Çerçevesi
ChatGPT, Perplexity, Google AI Mode, Claude, Gemini ve Grok için ortak ve platforma özgü metrikler.
H2 — 1. Evrensel Prompt Seti Kurun
Dil, niyet ve marka dışı sorgu dengesi.
H2 — 2. Platforma Özgü Test Koşullarını Kaydedin
Model/sürüm, arama özelliği, tarih, lokasyon, oturum.
H2 — 3. Ortak Veri Şeması Oluşturun
Mention, rank, citation URL, sentiment, answer accuracy, competitor.
H2 — 4. Platform Bazlı ve Birleşik Skor Hesaplayın
Basit formül ve ağırlıklandırma örneği.
H2 — 5. Değişkenliği Ölçün
Aynı promptu tekrar ederek cevap stabilitesini kaydedin.
H2 — 6. Trend ve Aksiyon Günlüğü Tutun
İçerik, schema, PR ve teknik değişiklikleri skor hareketleriyle eşleyin.
H2 — Araç Seçerken Nelere Bakılmalı?
Platform kapsamı, prompt arşivi, kaynak takibi, rakipler, export, API, ajans özellikleri ve fiyat şeffaflığı.
H2 — Sonuç
Çoklu platform takibinin tek skor değil karar sistemi olduğunu vurgulayın.
    SONUÇ
    - 100–150 kelime.
    - Yalnızca ana bulguları özetle; yeni bilgi veya yeni iddia ekleme.
    - CTA’yı tek paragrafta, doğal ve baskısız biçimde kullan.
    SSS
    3–7 soru kullan; aşağıdaki sorular long-tail hedefleridir ve mevcut H2’leri tekrar etmemelidir:
    - LLM görünürlük takibi için kaç platform yeterli?
- ChatGPT ve Perplexity sonuçları neden farklıdır?
- LLM görünürlüğü her gün ölçülmeli mi?
- AI platformları arası ortak skor oluşturulabilir mi?
- LLM marka takibi manuel yapılabilir mi?
    Her cevap 1–3 cümle olsun; soruyu cevabın içinde doğal biçimde tekrar et.
    İÇ LİNKLER
    - /chatgpt-marka-gorunurlugu-olcme/ — “ChatGPT marka görünürlüğü ölçme”
- /ai-gorunurluk-skoru/ — “AI görünürlük skoru”
    Gelecek URL henüz yayımlanmadıysa linki kırık bırakma; içerik yayımlandıktan sonra eklenmek üzere editör notu koy.
    GÖRSEL ÖNERİLERİ
    - llm-gorunurluk-takibi-kapak.webp | Alt: Farklı AI platformlarında marka görünürlüğünü gösteren kapak
- multi-llm-karsilastirma-matrisi.webp | Alt: Altı AI platformu için görünürlük karşılaştırma matrisi
- llm-veri-semasi.webp | Alt: Mention rank citation ve sentiment veri şeması
- llm-trend-dashboard.webp | Alt: Platform bazlı AI görünürlük trend dashboard örneği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7"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7" s="117" t="str">
        <x:v>/chatgpt-marka-gorunurlugu-olcme/ — “ChatGPT marka görünürlüğü ölçme”
/ai-gorunurluk-skoru/ — “AI görünürlük skoru”</x:v>
      </x:c>
      <x:c r="V7" s="117" t="str">
        <x:v>https://rankprompt.com/
https://rankprompt.com/developers/</x:v>
      </x:c>
      <x:c r="W7" s="117" t="str">
        <x:v>Aynı 15 promptu altı platformda çalıştırın; marka var/yok, öneri sırası, kaynak linki ve cevap tutarlılığını platform bazında karşılaştıran özgün 6x15 matris yayınlayın.</x:v>
      </x:c>
      <x:c r="X7" s="117" t="str">
        <x:v>llm-gorunurluk-takibi-kapak.webp | Farklı AI platformlarında marka görünürlüğünü gösteren kapak
multi-llm-karsilastirma-matrisi.webp | Altı AI platformu için görünürlük karşılaştırma matrisi
llm-veri-semasi.webp | Mention rank citation ve sentiment veri şeması
llm-trend-dashboard.webp | Platform bazlı AI görünürlük trend dashboard örneği</x:v>
      </x:c>
      <x:c r="Y7" s="117" t="str">
        <x:v>Tam eşleşen bağımsız LLM görünürlük takibi yazısı bulunmadı.</x:v>
      </x:c>
      <x:c r="Z7" s="117" t="str">
        <x:f>IF(J7="","",IF(AND(P7&lt;=60,R7&gt;=140,R7&lt;=160),"OK","Check"))</x:f>
        <x:v>OK</x:v>
      </x:c>
      <x:c r="AA7" s="117" t="str">
        <x:v>Çoğu içerik tek platforma odaklanıyor veya araç listesi veriyor. Bu yazı platformlar arası standardizasyon ve sonuçların neden doğrudan eşitlenemeyeceğini açıklamalı.</x:v>
      </x:c>
    </x:row>
    <x:row r="8" ht="72" customHeight="1">
      <x:c r="A8" s="117" t="n">
        <x:v>7</x:v>
      </x:c>
      <x:c r="B8" s="117" t="str">
        <x:v>Brief hazır</x:v>
      </x:c>
      <x:c r="C8" s="117" t="n">
        <x:v>7</x:v>
      </x:c>
      <x:c r="D8" s="117" t="str">
        <x:v>Ölçüm ve raporlama</x:v>
      </x:c>
      <x:c r="E8" s="117" t="str">
        <x:v>Değerlendirme</x:v>
      </x:c>
      <x:c r="F8" s="117" t="str">
        <x:v>SEO liderleri, kategori yöneticileri, ajans stratejistleri</x:v>
      </x:c>
      <x:c r="G8" s="117" t="str">
        <x:v>How-to</x:v>
      </x:c>
      <x:c r="H8" s="117" t="str">
        <x:v>Contact Studios How-To — ürün tie-in</x:v>
      </x:c>
      <x:c r="I8" s="117" t="str">
        <x:v>/ai-arama-rakip-analizi/</x:v>
      </x:c>
      <x:c r="J8" s="117" t="str">
        <x:v>AI Aramada Rakip Analizi Nasıl Yapılır? Prompt Bazlı Yöntem</x:v>
      </x:c>
      <x:c r="K8" s="117" t="str">
        <x:v>ai-arama-rakip-analizi</x:v>
      </x:c>
      <x:c r="L8" s="117" t="str">
        <x:v>AI arama rakip analizi</x:v>
      </x:c>
      <x:c r="M8" s="117" t="str">
        <x:v>Bilgilendirici / ticari araştırma</x:v>
      </x:c>
      <x:c r="N8" s="117" t="str">
        <x:v>ChatGPT rakip analizi, AI competitor analysis, LLM rakip takibi, AI share of voice, rakip mention analizi, AI citation gap, prompt gap analizi, GEO rakip analizi, AI search market share, rakip kaynak analizi, AI recommendation tracking, LLM benchmarking</x:v>
      </x:c>
      <x:c r="O8" s="117" t="str">
        <x:v>AI Aramada Rakip Analizi Nasıl Yapılır?</x:v>
      </x:c>
      <x:c r="P8" s="119" t="n">
        <x:f>IF(O8="","",LEN(O8))</x:f>
        <x:v>39</x:v>
      </x:c>
      <x:c r="Q8" s="117" t="str">
        <x:v>AI arama rakip analizi nasıl yapılır ve ChatGPT rakip görünürlüğü hangi promptlarla ölçülür? Boşlukları bulun, önceliklendirin ve aksiyon planı çıkarın.</x:v>
      </x:c>
      <x:c r="R8" s="119" t="n">
        <x:f>IF(Q8="","",LEN(Q8))</x:f>
        <x:v>152</x:v>
      </x:c>
      <x:c r="S8" s="117" t="str">
        <x:v>TEMPLATE: Contact Studios How-To — ürün tie-in
    HEDEF UZUNLUK: 1.500–2.000 kelime; 2.500 kelimeyi geçme.
    OKUYUCU: SEO liderleri, kategori yöneticileri, ajans stratejistleri
    FUNNEL AŞAMASI: Değerlendirme
    ARAMA NİYETİ: Bilgilendirici / ticari araştırma
    TON: Profesyonel, anlaşılır, kanıta dayalı ve tarafsız. Reklam dili, abartı, “garantili görünürlük” ve doğrulanmamış üstünlük iddiaları kullanma.
    ANAHTAR KELİMELER
    - Birincil: AI arama rakip analizi
    - İlgili/uzun kuyruklu: ChatGPT rakip analizi, AI competitor analysis, LLM rakip takibi, AI share of voice, rakip mention analizi, AI citation gap, prompt gap analizi, GEO rakip analizi, AI search market share, rakip kaynak analizi, AI recommendation tracking, LLM benchmarking
    - Birincil anahtar kelimeyi ilk 100 kelime içinde doğal biçimde kullan.
    - Anahtar kelimeyi en az 3 başlıkta doğal ve dilbilgisel olarak kullan; keyword stuffing yapma.
    AÇILIŞ
    - H1: AI Aramada Rakip Analizi Nasıl Yapılır? Prompt Bazlı Yöntem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Araç listeleri görünürlüğü sayıyor ancak rakibin neden önerildiğini ayrıştırmıyor. Yazı içerik, entity, üçüncü taraf kaynak ve ürün kanıtı olmak üzere dört neden kategorisi sunmalı.
    ZORUNLU ÖZGÜN KANIT / PROPRIETARY INFORMATION
    Üç rakip için 40 promptta 'hangi marka, hangi gerekçeyle, hangi kaynakla önerildi?' kodlaması yapın; en sık tekrar eden 5 rakip kanıt türünü özgün tablo halinde yayınlayın.
    Bu çalışma yapılmadan yazıyı yayıma hazır sayma. Test tarihi, prompt sayısı, platformlar, dil/ülke ve yöntem açıkça belirtilsin. Veri üretilemezse sonuç uydurma; “test henüz yapılmadı” notu bırak.
    İÇERİK PLANI
    H2 — AI Arama Rakip Analizi Nedir?
Rakiplerin AI yanıtlarında hangi promptlarda, hangi konumda ve hangi kanıtlarla önerildiğini inceleme süreci olarak tanımlayın.
H2 — Klasik Rakip Analizinden Farkı
Keyword/URL sıralaması yerine answer-level mention, citation ve gerekçe analizi.
H2 — 1. Doğru Rakip Setini Kurun
Doğrudan rakip, kategori lideri, yerel oyuncu ve AI tarafından sık önerilen sürpriz rakip.
H2 — 2. Satın Alma Yolculuğuna Göre Prompt Haritası Oluşturun
Problem, kategori, karşılaştırma, fiyat, alternatif ve yerel prompt örnekleri.
H2 — 3. Görünürlük ve Share of Voice Ölçün
Platform ve niyet bazlı tablo.
H2 — 4. Citation ve Kaynak Boşluğunu Analiz Edin
Rakiplerin tekrar eden kaynaklarını, erişilebilirlik ve otorite açısından sınıflandırın.
H2 — 5. Rakibin Önerilme Gerekçesini Kodlayın
Fiyat, özellik, güven, inceleme, dağıtım, yerellik, uzmanlık gibi nedenler.
H2 — 6. Boşlukları Etki ve Eforla Önceliklendirin
Hızlı kazanım, orta vadeli içerik, uzun vadeli PR/otorite matrisi.
H2 — 7. Yeniden Tarama ile Etkiyi Ölçün
Aynı prompt seti ve değişiklik günlüğü kullanın.
H2 — Rank Prompt ile Rakip Görünürlüğü Nasıl İzlenir?
Ürünü bir örnek olarak tarafsızca gösterin; rakip ranking, prompt-level gaps ve citation kaynaklarının nasıl okunacağını anlatın.
H2 — Sonuç
Rakip mention sayısından çok 'neden' ve 'hangi prompt' sorularını özetleyin.
    SONUÇ
    - 100–150 kelime.
    - Yalnızca ana bulguları özetle; yeni bilgi veya yeni iddia ekleme.
    - CTA’yı tek paragrafta, doğal ve baskısız biçimde kullan.
    SSS
    3–7 soru kullan; aşağıdaki sorular long-tail hedefleridir ve mevcut H2’leri tekrar etmemelidir:
    - AI arama rakipleri nasıl belirlenir?
- ChatGPT’de en çok önerilen rakip nasıl bulunur?
- AI share of voice ne demektir?
- Rakip citation kaynakları nasıl analiz edilir?
- AI rakip analizi ne sıklıkla yenilenmeli?
    Her cevap 1–3 cümle olsun; soruyu cevabın içinde doğal biçimde tekrar et.
    İÇ LİNKLER
    - /llm-gorunurluk-takibi/ — “LLM görünürlük takibi”
- /rank-prompt-nedir/ — “AI rakip analizi aracı”
    Gelecek URL henüz yayımlanmadıysa linki kırık bırakma; içerik yayımlandıktan sonra eklenmek üzere editör notu koy.
    GÖRSEL ÖNERİLERİ
    - ai-arama-rakip-analizi-kapak.webp | Alt: AI yanıtlarında rakip marka karşılaştırmasını gösteren kapak
- prompt-rakip-haritasi.webp | Alt: Satın alma yolculuğuna göre rakip prompt haritası
- ai-citation-gap.webp | Alt: Rakip kaynak ve citation boşluğu analizi
- etki-efor-matrisi.webp | Alt: AI görünürlük aksiyonları için etki efor matrisi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8"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8" s="117" t="str">
        <x:v>/llm-gorunurluk-takibi/ — “LLM görünürlük takibi”
/rank-prompt-nedir/ — “AI rakip analizi aracı”</x:v>
      </x:c>
      <x:c r="V8" s="117" t="str">
        <x:v>https://rankprompt.com/
https://rankprompt.com/developers/</x:v>
      </x:c>
      <x:c r="W8" s="117" t="str">
        <x:v>Üç rakip için 40 promptta 'hangi marka, hangi gerekçeyle, hangi kaynakla önerildi?' kodlaması yapın; en sık tekrar eden 5 rakip kanıt türünü özgün tablo halinde yayınlayın.</x:v>
      </x:c>
      <x:c r="X8" s="117" t="str">
        <x:v>ai-arama-rakip-analizi-kapak.webp | AI yanıtlarında rakip marka karşılaştırmasını gösteren kapak
prompt-rakip-haritasi.webp | Satın alma yolculuğuna göre rakip prompt haritası
ai-citation-gap.webp | Rakip kaynak ve citation boşluğu analizi
etki-efor-matrisi.webp | AI görünürlük aksiyonları için etki efor matrisi</x:v>
      </x:c>
      <x:c r="Y8" s="117" t="str">
        <x:v>Tam eşleşen içerik bulunmadı.</x:v>
      </x:c>
      <x:c r="Z8" s="117" t="str">
        <x:f>IF(J8="","",IF(AND(P8&lt;=60,R8&gt;=140,R8&lt;=160),"OK","Check"))</x:f>
        <x:v>OK</x:v>
      </x:c>
      <x:c r="AA8" s="117" t="str">
        <x:v>Araç listeleri görünürlüğü sayıyor ancak rakibin neden önerildiğini ayrıştırmıyor. Yazı içerik, entity, üçüncü taraf kaynak ve ürün kanıtı olmak üzere dört neden kategorisi sunmalı.</x:v>
      </x:c>
    </x:row>
    <x:row r="9" ht="72" customHeight="1">
      <x:c r="A9" s="117" t="n">
        <x:v>8</x:v>
      </x:c>
      <x:c r="B9" s="117" t="str">
        <x:v>Brief hazır</x:v>
      </x:c>
      <x:c r="C9" s="117" t="n">
        <x:v>8</x:v>
      </x:c>
      <x:c r="D9" s="117" t="str">
        <x:v>Ölçüm ve raporlama</x:v>
      </x:c>
      <x:c r="E9" s="117" t="str">
        <x:v>Değerlendirme</x:v>
      </x:c>
      <x:c r="F9" s="117" t="str">
        <x:v>Ajans hesap yöneticileri, CMO’lar, SEO raporlama ekipleri</x:v>
      </x:c>
      <x:c r="G9" s="117" t="str">
        <x:v>How-to</x:v>
      </x:c>
      <x:c r="H9" s="117" t="str">
        <x:v>Contact Studios How-To — ürün tie-in</x:v>
      </x:c>
      <x:c r="I9" s="117" t="str">
        <x:v>/ai-gorunurluk-raporu/</x:v>
      </x:c>
      <x:c r="J9" s="117" t="str">
        <x:v>AI Görünürlük Raporu Nasıl Hazırlanır? Şablon ve KPI’lar</x:v>
      </x:c>
      <x:c r="K9" s="117" t="str">
        <x:v>ai-gorunurluk-raporu</x:v>
      </x:c>
      <x:c r="L9" s="117" t="str">
        <x:v>AI görünürlük raporu</x:v>
      </x:c>
      <x:c r="M9" s="117" t="str">
        <x:v>Bilgilendirici</x:v>
      </x:c>
      <x:c r="N9" s="117" t="str">
        <x:v>ChatGPT görünürlük raporu, AI visibility report, GEO raporu, LLM raporlama, AI share of voice raporu, AI citation report, AI rakip raporu, prompt performance report, AI visibility dashboard, ajans AI raporu, AI KPI şablonu, marka görünürlük raporu</x:v>
      </x:c>
      <x:c r="O9" s="117" t="str">
        <x:v>AI Görünürlük Raporu Nasıl Hazırlanır?</x:v>
      </x:c>
      <x:c r="P9" s="119" t="n">
        <x:f>IF(O9="","",LEN(O9))</x:f>
        <x:v>38</x:v>
      </x:c>
      <x:c r="Q9" s="117" t="str">
        <x:v>AI görünürlük raporu nasıl hazırlanır, ChatGPT görünürlük KPI’ları ve AI share of voice nasıl sunulur? Şablonu uygulayın, aksiyon odaklı rapor oluşturun.</x:v>
      </x:c>
      <x:c r="R9" s="119" t="n">
        <x:f>IF(Q9="","",LEN(Q9))</x:f>
        <x:v>153</x:v>
      </x:c>
      <x:c r="S9" s="117" t="str">
        <x:v>TEMPLATE: Contact Studios How-To — ürün tie-in
    HEDEF UZUNLUK: 1.500–2.000 kelime; 2.500 kelimeyi geçme.
    OKUYUCU: Ajans hesap yöneticileri, CMO’lar, SEO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raporu
    - İlgili/uzun kuyruklu: ChatGPT görünürlük raporu, AI visibility report, GEO raporu, LLM raporlama, AI share of voice raporu, AI citation report, AI rakip raporu, prompt performance report, AI visibility dashboard, ajans AI raporu, AI KPI şablonu, marka görünürlük raporu
    - Birincil anahtar kelimeyi ilk 100 kelime içinde doğal biçimde kullan.
    - Anahtar kelimeyi en az 3 başlıkta doğal ve dilbilgisel olarak kullan; keyword stuffing yapma.
    AÇILIŞ
    - H1: AI Görünürlük Raporu Nasıl Hazırlanır? Şablon ve KPI’lar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metrikleri anlatıyor fakat karar vericinin okuyabileceği rapor yapısı vermiyor. Yazı KPI + değişiklik günlüğü + aksiyon sahibi + son tarih içermeli.
    ZORUNLU ÖZGÜN KANIT / PROPRIETARY INFORMATION
    İndirilebilir olmadan da yazı içinde kopyalanabilir 1 sayfalık yönetici özeti ve 12 sütunlu veri sözlüğü verin; örnek raporu gerçek 20 promptluk mini taramayla doldurun.
    Bu çalışma yapılmadan yazıyı yayıma hazır sayma. Test tarihi, prompt sayısı, platformlar, dil/ülke ve yöntem açıkça belirtilsin. Veri üretilemezse sonuç uydurma; “test henüz yapılmadı” notu bırak.
    İÇERİK PLANI
    H2 — İyi Bir AI Görünürlük Raporu Ne Cevaplamalı?
Neredeyiz, rakipler nerede, neden, ne değişti, sıradaki aksiyon ne ve başarı nasıl ölçülecek sorularını listeleyin.
H2 — AI Görünürlük Raporu Bölümleri
Yönetici özeti, kapsam/metodoloji, KPI, prompt detayları, citation kaynakları, rakipler, bulgular, aksiyon planı.
H2 — 1. Kapsam ve Metodolojiyi Yazın
Platform, tarih, ülke, dil, model, prompt sayısı ve tekrar sayısı.
H2 — 2. Ana KPI’ları Seçin
Mention rate, recommendation rate, citation rate, weighted visibility, share of voice, sentiment/accuracy.
H2 — 3. Prompt Bazlı Sonuçları Gösterin
Yüksek niyetli kaçırılan promptları üstte sıralayın.
H2 — 4. Citation ve Kaynakları Sınıflandırın
Sahip olunan, kazanılan ve üçüncü taraf kaynaklar.
H2 — 5. Rakip Karşılaştırmasını Görselleştirin
Platform ve funnel aşaması bazlı grafikler.
H2 — 6. Bulguları Aksiyona Çevirin
Aksiyon, sahip, tahmini etki, efor, son tarih, yeniden test tarihi.
H2 — 7. Yönetici Özetini Bir Sayfada Tutun
En önemli üç içgörü ve üç öncelik.
H2 — Raporlama Hataları
Yöntemi saklama, küçük örneklem, vanity score, değişiklik günlüğü tutmama, garanti iddiası.
H2 — Sonuç
Raporun dashboard değil karar aracı olduğunu özetleyin.
    SONUÇ
    - 100–150 kelime.
    - Yalnızca ana bulguları özetle; yeni bilgi veya yeni iddia ekleme.
    - CTA’yı tek paragrafta, doğal ve baskısız biçimde kullan.
    SSS
    3–7 soru kullan; aşağıdaki sorular long-tail hedefleridir ve mevcut H2’leri tekrar etmemelidir:
    - AI görünürlük raporunda hangi KPI’lar olmalı?
- ChatGPT görünürlük raporu müşteriye nasıl sunulur?
- AI görünürlük raporu kaç prompt içermeli?
- AI share of voice raporda nasıl gösterilir?
- AI görünürlük raporu aylık mı hazırlanmalı?
    Her cevap 1–3 cümle olsun; soruyu cevabın içinde doğal biçimde tekrar et.
    İÇ LİNKLER
    - /ai-gorunurluk-skoru/ — “AI görünürlük skoru”
- /ai-arama-rakip-analizi/ — “AI rakip analizi”
    Gelecek URL henüz yayımlanmadıysa linki kırık bırakma; içerik yayımlandıktan sonra eklenmek üzere editör notu koy.
    GÖRSEL ÖNERİLERİ
    - ai-gorunurluk-raporu-kapak.webp | Alt: AI görünürlük raporu ve KPI dashboard kapak görseli
- ai-rapor-yonetici-ozeti.webp | Alt: Tek sayfalık AI görünürlük yönetici özeti
- ai-kpi-veri-sozlugu.webp | Alt: AI görünürlük KPI veri sözlüğü tablosu
- ai-aksiyon-plani.webp | Alt: Sahip tarih etki ve efor içeren aksiyon planı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9"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9" s="117" t="str">
        <x:v>/ai-gorunurluk-skoru/ — “AI görünürlük skoru”
/ai-arama-rakip-analizi/ — “AI rakip analizi”</x:v>
      </x:c>
      <x:c r="V9" s="117" t="str">
        <x:v>https://rankprompt.com/
https://rankprompt.com/developers/</x:v>
      </x:c>
      <x:c r="W9" s="117" t="str">
        <x:v>İndirilebilir olmadan da yazı içinde kopyalanabilir 1 sayfalık yönetici özeti ve 12 sütunlu veri sözlüğü verin; örnek raporu gerçek 20 promptluk mini taramayla doldurun.</x:v>
      </x:c>
      <x:c r="X9" s="117" t="str">
        <x:v>ai-gorunurluk-raporu-kapak.webp | AI görünürlük raporu ve KPI dashboard kapak görseli
ai-rapor-yonetici-ozeti.webp | Tek sayfalık AI görünürlük yönetici özeti
ai-kpi-veri-sozlugu.webp | AI görünürlük KPI veri sözlüğü tablosu
ai-aksiyon-plani.webp | Sahip tarih etki ve efor içeren aksiyon planı</x:v>
      </x:c>
      <x:c r="Y9" s="117" t="str">
        <x:v>Tam eşleşen içerik bulunmadı.</x:v>
      </x:c>
      <x:c r="Z9" s="117" t="str">
        <x:f>IF(J9="","",IF(AND(P9&lt;=60,R9&gt;=140,R9&lt;=160),"OK","Check"))</x:f>
        <x:v>OK</x:v>
      </x:c>
      <x:c r="AA9" s="117" t="str">
        <x:v>Rakip içerikler metrikleri anlatıyor fakat karar vericinin okuyabileceği rapor yapısı vermiyor. Yazı KPI + değişiklik günlüğü + aksiyon sahibi + son tarih içermeli.</x:v>
      </x:c>
    </x:row>
    <x:row r="10" ht="72" customHeight="1">
      <x:c r="A10" s="117" t="n">
        <x:v>9</x:v>
      </x:c>
      <x:c r="B10" s="117" t="str">
        <x:v>Brief hazır</x:v>
      </x:c>
      <x:c r="C10" s="117" t="n">
        <x:v>9</x:v>
      </x:c>
      <x:c r="D10" s="117" t="str">
        <x:v>Optimizasyon</x:v>
      </x:c>
      <x:c r="E10" s="117" t="str">
        <x:v>Farkındalık</x:v>
      </x:c>
      <x:c r="F10" s="117" t="str">
        <x:v>Kurucular, marka ve içerik ekipleri, SEO uzmanları</x:v>
      </x:c>
      <x:c r="G10" s="117" t="str">
        <x:v>List post</x:v>
      </x:c>
      <x:c r="H10" s="117" t="str">
        <x:v>HubSpot List Post</x:v>
      </x:c>
      <x:c r="I10" s="117" t="str">
        <x:v>/chatgpt-markami-neden-onermiyor/</x:v>
      </x:c>
      <x:c r="J10" s="117" t="str">
        <x:v>ChatGPT Markanızı Neden Önermiyor? 9 Olası Neden ve Çözüm</x:v>
      </x:c>
      <x:c r="K10" s="117" t="str">
        <x:v>chatgpt-markami-neden-onermiyor</x:v>
      </x:c>
      <x:c r="L10" s="117" t="str">
        <x:v>ChatGPT markamı neden önermiyor</x:v>
      </x:c>
      <x:c r="M10" s="117" t="str">
        <x:v>Bilgilendirici / problem çözme</x:v>
      </x:c>
      <x:c r="N10" s="117" t="str">
        <x:v>ChatGPT markamı göstermiyor, ChatGPT markamı bilmiyor, ChatGPT marka önerisi, AI marka görünmezliği, ChatGPT citation eksikliği, AI crawler engeli, marka entity sinyalleri, ChatGPT yanlış bilgi, GEO sorunları, AI görünürlük düşüklüğü, LLM marka algısı, ChatGPT önerilme</x:v>
      </x:c>
      <x:c r="O10" s="117" t="str">
        <x:v>ChatGPT Markanızı Neden Önermiyor?</x:v>
      </x:c>
      <x:c r="P10" s="119" t="n">
        <x:f>IF(O10="","",LEN(O10))</x:f>
        <x:v>34</x:v>
      </x:c>
      <x:c r="Q10" s="117" t="str">
        <x:v>ChatGPT markamı neden önermiyor diyorsanız 9 olası nedeni kontrol edin. AI citation eksikliği, içerik ve teknik sorunları bulun; düzeltme planını uygulayın.</x:v>
      </x:c>
      <x:c r="R10" s="119" t="n">
        <x:f>IF(Q10="","",LEN(Q10))</x:f>
        <x:v>156</x:v>
      </x:c>
      <x:c r="S10" s="117" t="str">
        <x:v>TEMPLATE: HubSpot List Post
    HEDEF UZUNLUK: 1.500–2.000 kelime; 2.500 kelimeyi geçme.
    OKUYUCU: Kurucular, marka ve içerik ekipleri, SEO uzmanları
    FUNNEL AŞAMASI: Farkındalık
    ARAMA NİYETİ: Bilgilendirici / problem çözme
    TON: Profesyonel, anlaşılır, kanıta dayalı ve tarafsız. Reklam dili, abartı, “garantili görünürlük” ve doğrulanmamış üstünlük iddiaları kullanma.
    ANAHTAR KELİMELER
    - Birincil: ChatGPT markamı neden önermiyor
    - İlgili/uzun kuyruklu: ChatGPT markamı göstermiyor, ChatGPT markamı bilmiyor, ChatGPT marka önerisi, AI marka görünmezliği, ChatGPT citation eksikliği, AI crawler engeli, marka entity sinyalleri, ChatGPT yanlış bilgi, GEO sorunları, AI görünürlük düşüklüğü, LLM marka algısı, ChatGPT önerilme
    - Birincil anahtar kelimeyi ilk 100 kelime içinde doğal biçimde kullan.
    - Anahtar kelimeyi en az 3 başlıkta doğal ve dilbilgisel olarak kullan; keyword stuffing yapma.
    AÇILIŞ
    - H1: ChatGPT Markanızı Neden Önermiyor? 9 Olası Neden ve Çözüm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içerikler genellikle 'daha çok içerik yazın' diyor. Bu yazı teknik erişim, entity tutarlılığı, kategori kanıtı, üçüncü taraf kaynak ve prompt uyumsuzluğunu ayrı teşhis etmeli.
    ZORUNLU ÖZGÜN KANIT / PROPRIETARY INFORMATION
    Dokuz neden için bir tanı ağacı hazırlayın ve gerçek bir siteyi robots, entity bilgisi, içerik kapsamı, üçüncü taraf mention ve 20 prompt baseline üzerinden anonimleştirerek test edin.
    Bu çalışma yapılmadan yazıyı yayıma hazır sayma. Test tarihi, prompt sayısı, platformlar, dil/ülke ve yöntem açıkça belirtilsin. Veri üretilemezse sonuç uydurma; “test henüz yapılmadı” notu bırak.
    İÇERİK PLANI
    H2 — ChatGPT’nin Marka Önermemesi Tek Bir Nedene Bağlı Değildir
İlk cümlede soruyu yanıtlayın; görünmezliğin veri, erişim, otorite, içerik ve prompt kapsamından kaynaklanabileceğini söyleyin.
H2 — 1. Marka Kategoriyle Açık Şekilde İlişkilendirilmiyor
Ana sayfa ve ürün sayfalarında kategori, hedef kitle ve değer önerisi netliği.
H2 — 2. OAI-SearchBot İçeriğe Erişemiyor
robots.txt, noindex ve erişim kontrolleri.
H2 — 3. İçerik Satın Alma Sorularını Yanıtlamıyor
Problem, alternatif, use-case, karşılaştırma ve fiyat bağlamı.
H2 — 4. Üçüncü Taraf Kaynaklarda Yeterli Kanıt Yok
İnceleme, medya, dizin, uzman kaynak ve gerçek mention.
H2 — 5. Marka Bilgileri Tutarsız
İsim, URL, ürün tanımı, konum ve fiyat bilgisinin web genelinde tutarlılığı.
H2 — 6. İçerik Özgün Kanıt Sunmuyor
Veri, vaka, ekran görüntüsü, uzman görüşü ve birinci el deneyim.
H2 — 7. Teknik SEO ve İndekslenme Sorunları Var
Crawl, render, canonical, snippet eligibility ve site performansı.
H2 — 8. Yanlış Promptlarla Test Ediyorsunuz
Marka içeren sorgular, çok dar/çok geniş promptlar ve düşük niyet.
H2 — 9. AI Yanıtları Değişken ve Zamana Bağlı
Tek testle karar vermeme, tekrar ve trend izleme.
H2 — 90 Dakikalık Tanı Kontrol Listesi
Teknik, içerik, entity, kaynak ve ölçüm adımları.
H2 — Sonuç
Garantili önerilme olmadığını; ölçüm ve kanıt geliştirme döngüsünü özetleyin.
    SONUÇ
    - 100–150 kelime.
    - Yalnızca ana bulguları özetle; yeni bilgi veya yeni iddia ekleme.
    - CTA’yı tek paragrafta, doğal ve baskısız biçimde kullan.
    SSS
    3–7 soru kullan; aşağıdaki sorular long-tail hedefleridir ve mevcut H2’leri tekrar etmemelidir:
    - ChatGPT’ye markamı nasıl tanıtabilirim?
- OAI-SearchBot engellenirse ne olur?
- ChatGPT yanlış marka bilgisi verirse ne yapılır?
- Marka mention sayısı nasıl artırılır?
- ChatGPT markayı ne kadar sürede görür?
    Her cevap 1–3 cümle olsun; soruyu cevabın içinde doğal biçimde tekrar et.
    İÇ LİNKLER
    - /chatgpt-marka-gorunurlugu-olcme/ — “ChatGPT marka görünürlüğünü ölçme”
- /oai-searchbot-gptbot-robots-txt/ — “OAI-SearchBot robots.txt ayarı”
    Gelecek URL henüz yayımlanmadıysa linki kırık bırakma; içerik yayımlandıktan sonra eklenmek üzere editör notu koy.
    GÖRSEL ÖNERİLERİ
    - chatgpt-markami-onermiyor-kapak.webp | Alt: ChatGPT yanıtında görünmeyen bir markayı gösteren kapak
- chatgpt-gorunmezlik-tani-agaci.webp | Alt: ChatGPT marka görünmezliği tanı ağacı
- robots-ai-crawler-kontrolu.webp | Alt: AI crawler robots.txt kontrol örneği
- 90-dakika-ai-audit.webp | Alt: 90 dakikalık AI görünürlük tanı kontrol listesi
    Kapak + en az 3 ek görsel kullan. Ekran görüntülerinde tarih ve veri kaynağı belirt; kişisel/müşteri verilerini maskele.
    KAYNAKLAR
    Öncelikle resmi ve birincil kaynakları kullan:
    - https://help.openai.com/en/articles/12627856-publishers-and-developers-faq
- https://developers.google.com/search/docs/appearance/ai-features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0"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0" s="117" t="str">
        <x:v>/chatgpt-marka-gorunurlugu-olcme/ — “ChatGPT marka görünürlüğünü ölçme”
/oai-searchbot-gptbot-robots-txt/ — “OAI-SearchBot robots.txt ayarı”</x:v>
      </x:c>
      <x:c r="V10" s="117" t="str">
        <x:v>https://help.openai.com/en/articles/12627856-publishers-and-developers-faq
https://developers.google.com/search/docs/appearance/ai-features
https://developers.google.com/search/docs/fundamentals/creating-helpful-content</x:v>
      </x:c>
      <x:c r="W10" s="117" t="str">
        <x:v>Dokuz neden için bir tanı ağacı hazırlayın ve gerçek bir siteyi robots, entity bilgisi, içerik kapsamı, üçüncü taraf mention ve 20 prompt baseline üzerinden anonimleştirerek test edin.</x:v>
      </x:c>
      <x:c r="X10" s="117" t="str">
        <x:v>chatgpt-markami-onermiyor-kapak.webp | ChatGPT yanıtında görünmeyen bir markayı gösteren kapak
chatgpt-gorunmezlik-tani-agaci.webp | ChatGPT marka görünmezliği tanı ağacı
robots-ai-crawler-kontrolu.webp | AI crawler robots.txt kontrol örneği
90-dakika-ai-audit.webp | 90 dakikalık AI görünürlük tanı kontrol listesi</x:v>
      </x:c>
      <x:c r="Y10" s="117" t="str">
        <x:v>Tam eşleşen içerik bulunmadı.</x:v>
      </x:c>
      <x:c r="Z10" s="117" t="str">
        <x:f>IF(J10="","",IF(AND(P10&lt;=60,R10&gt;=140,R10&lt;=160),"OK","Check"))</x:f>
        <x:v>OK</x:v>
      </x:c>
      <x:c r="AA10" s="117" t="str">
        <x:v>Mevcut içerikler genellikle 'daha çok içerik yazın' diyor. Bu yazı teknik erişim, entity tutarlılığı, kategori kanıtı, üçüncü taraf kaynak ve prompt uyumsuzluğunu ayrı teşhis etmeli.</x:v>
      </x:c>
    </x:row>
    <x:row r="11" ht="72" customHeight="1">
      <x:c r="A11" s="117" t="n">
        <x:v>10</x:v>
      </x:c>
      <x:c r="B11" s="117" t="str">
        <x:v>Brief hazır</x:v>
      </x:c>
      <x:c r="C11" s="117" t="n">
        <x:v>10</x:v>
      </x:c>
      <x:c r="D11" s="117" t="str">
        <x:v>Optimizasyon</x:v>
      </x:c>
      <x:c r="E11" s="117" t="str">
        <x:v>Farkındalık</x:v>
      </x:c>
      <x:c r="F11" s="117" t="str">
        <x:v>İçerik ekipleri, SEO editörleri, SaaS pazarlamacıları</x:v>
      </x:c>
      <x:c r="G11" s="117" t="str">
        <x:v>How-to</x:v>
      </x:c>
      <x:c r="H11" s="117" t="str">
        <x:v>Contact Studios How-To — ürün tie-in</x:v>
      </x:c>
      <x:c r="I11" s="117" t="str">
        <x:v>/ai-arama-icerik-optimizasyonu/</x:v>
      </x:c>
      <x:c r="J11" s="117" t="str">
        <x:v>AI Arama İçin İçerik Nasıl Optimize Edilir? 10 Adımlı Rehber</x:v>
      </x:c>
      <x:c r="K11" s="117" t="str">
        <x:v>ai-arama-icerik-optimizasyonu</x:v>
      </x:c>
      <x:c r="L11" s="117" t="str">
        <x:v>AI arama için içerik optimizasyonu</x:v>
      </x:c>
      <x:c r="M11" s="117" t="str">
        <x:v>Bilgilendirici</x:v>
      </x:c>
      <x:c r="N11" s="117" t="str">
        <x:v>ChatGPT için içerik optimizasyonu, GEO içerik stratejisi, AEO içerik optimizasyonu, AI dostu içerik, LLM citation content, AI search content, AI cevaplarına uygun içerik, people-first content, özgün veri SEO, entity odaklı içerik, AI content audit, generative search optimization</x:v>
      </x:c>
      <x:c r="O11" s="117" t="str">
        <x:v>AI Arama İçin İçerik Optimizasyonu</x:v>
      </x:c>
      <x:c r="P11" s="119" t="n">
        <x:f>IF(O11="","",LEN(O11))</x:f>
        <x:v>34</x:v>
      </x:c>
      <x:c r="Q11" s="117" t="str">
        <x:v>AI arama için içerik optimizasyonu nasıl yapılır ve ChatGPT’ye uygun içerik nasıl yazılır? 10 adımı uygulayın, ölçülebilir bir görünürlük testi yapın.</x:v>
      </x:c>
      <x:c r="R11" s="119" t="n">
        <x:f>IF(Q11="","",LEN(Q11))</x:f>
        <x:v>150</x:v>
      </x:c>
      <x:c r="S11" s="117" t="str">
        <x:v>TEMPLATE: Contact Studios How-To — ürün tie-in
    HEDEF UZUNLUK: 1.500–2.000 kelime; 2.500 kelimeyi geçme.
    OKUYUCU: İçerik ekipleri, SEO editörleri, SaaS pazarlamacıları
    FUNNEL AŞAMASI: Farkındalık
    ARAMA NİYETİ: Bilgilendirici
    TON: Profesyonel, anlaşılır, kanıta dayalı ve tarafsız. Reklam dili, abartı, “garantili görünürlük” ve doğrulanmamış üstünlük iddiaları kullanma.
    ANAHTAR KELİMELER
    - Birincil: AI arama için içerik optimizasyonu
    - İlgili/uzun kuyruklu: ChatGPT için içerik optimizasyonu, GEO içerik stratejisi, AEO içerik optimizasyonu, AI dostu içerik, LLM citation content, AI search content, AI cevaplarına uygun içerik, people-first content, özgün veri SEO, entity odaklı içerik, AI content audit, generative search optimization
    - Birincil anahtar kelimeyi ilk 100 kelime içinde doğal biçimde kullan.
    - Anahtar kelimeyi en az 3 başlıkta doğal ve dilbilgisel olarak kullan; keyword stuffing yapma.
    AÇILIŞ
    - H1: AI Arama İçin İçerik Nasıl Optimize Edilir? 10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rehberler kısa cevap ve FAQ’yu aşırı vurguluyor. Google’ın resmi rehberine uygun biçimde özgün, people-first içerik, teknik erişilebilirlik ve ölçüm döngüsünü merkeze alın.
    ZORUNLU ÖZGÜN KANIT / PROPRIETARY INFORMATION
    Ortak Alan’daki mevcut bir yazıyı önce/sonra formatında yeniden düzenleyin; ilk 20 prompt baseline’ı, yapılan değişiklikleri ve 30 gün sonraki yeniden taramayı yayınlayın. Sonuç çıkmazsa bunu da açıkça yazın.
    Bu çalışma yapılmadan yazıyı yayıma hazır sayma. Test tarihi, prompt sayısı, platformlar, dil/ülke ve yöntem açıkça belirtilsin. Veri üretilemezse sonuç uydurma; “test henüz yapılmadı” notu bırak.
    İÇERİK PLANI
    H2 — AI Arama İçin İçerik Optimizasyonu Ne Değildir?
Keyword stuffing, yapay 'AI dili', gereksiz sayfa çoğaltma, sadece llms.txt ve schema ile sonuç bekleme gibi mitleri çürütün.
H2 — AI Arama İçin İçerik Optimizasyonu Adımları
10 adımı featured snippet için kısa listeleyin.
H2 — 1. Gerçek Kullanıcı Problemini Seçin
İş hedefi, arama niyeti ve prompt niyeti eşleştirmesi.
H2 — 2. Rakiplerin Cevaplamadığı Soruyu Bulun
SERP + AI yanıtı gap analizi.
H2 — 3. En Önemli Cevabı Bölümün İlk Cümlesinde Verin
AI extraction ve okuyucu deneyimi için net açılış.
H2 — 4. Birinci El Kanıt Ekleyin
Özgün veri, ekran görüntüsü, uzman görüşü, test veya vaka.
H2 — 5. Entity ve Bağlamı Netleştirin
Kim, ne, kimin için, hangi problemi çözüyor, sınırlamalar.
H2 — 6. İçeriği Mantıklı Başlıklarla Yapılandırın
H2/H3, tablo, adımlar ve kısa paragraflar.
H2 — 7. Kaynakları ve Tarihleri Açıkça Belirtin
Birincil kaynak, güncelleme tarihi ve iddia kontrolü.
H2 — 8. Teknik Erişilebilirliği Sağlayın
İndekslenme, snippet eligibility, render ve crawler erişimi.
H2 — 9. İç Bağlantı ve Konu Kümesi Kurun
Pillar/cluster yapısı ve descriptive anchor.
H2 — 10. Prompt Bazlı Ölçün ve Güncelleyin
Baseline, değişiklik günlüğü ve yeniden tarama.
H2 — Rank Prompt Bu Süreçte Nerede Kullanılır?
Sadece ölçüm, boşluk analizi ve trend izleme bağlamında yumuşak ürün tie-in.
H2 — Sonuç
İçeriği AI için değil kullanıcı için değerli hale getirmenin temel olduğunu özetleyin.
    SONUÇ
    - 100–150 kelime.
    - Yalnızca ana bulguları özetle; yeni bilgi veya yeni iddia ekleme.
    - CTA’yı tek paragrafta, doğal ve baskısız biçimde kullan.
    SSS
    3–7 soru kullan; aşağıdaki sorular long-tail hedefleridir ve mevcut H2’leri tekrar etmemelidir:
    - ChatGPT’ye uygun içerik formatı nedir?
- FAQ bölümü AI görünürlüğünü artırır mı?
- llms.txt AI arama için gerekli mi?
- AI içerik optimizasyonunda kaç kelime yeterli?
- AI ile üretilen içerik Google’da sıralanır mı?
    Her cevap 1–3 cümle olsun; soruyu cevabın içinde doğal biçimde tekrar et.
    İÇ LİNKLER
    - /aeo-geo-seo-farki/ — “GEO ve SEO farkı”
- /llm-gorunurluk-takibi/ — “prompt bazlı görünürlük takibi”
    Gelecek URL henüz yayımlanmadıysa linki kırık bırakma; içerik yayımlandıktan sonra eklenmek üzere editör notu koy.
    GÖRSEL ÖNERİLERİ
    - ai-arama-icerik-optimizasyonu-kapak.webp | Alt: AI arama için içerik optimizasyonu sürecini gösteren kapak
- ai-icerik-once-sonra.webp | Alt: AI görünürlük için içerik önce ve sonra karşılaştırması
- people-first-content-checklist.webp | Alt: People-first ve özgün içerik kontrol listesi
- prompt-bazli-olcum.webp | Alt: İçerik değişikliği sonrası prompt bazlı ölçüm grafiği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https://developers.google.com/search/docs/fundamentals/using-gen-ai-content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1"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1" s="117" t="str">
        <x:v>/aeo-geo-seo-farki/ — “GEO ve SEO farkı”
/llm-gorunurluk-takibi/ — “prompt bazlı görünürlük takibi”</x:v>
      </x:c>
      <x:c r="V11" s="117" t="str">
        <x:v>https://developers.google.com/search/docs/fundamentals/ai-optimization-guide
https://developers.google.com/search/docs/fundamentals/using-gen-ai-content
https://developers.google.com/search/docs/fundamentals/creating-helpful-content</x:v>
      </x:c>
      <x:c r="W11" s="117" t="str">
        <x:v>Ortak Alan’daki mevcut bir yazıyı önce/sonra formatında yeniden düzenleyin; ilk 20 prompt baseline’ı, yapılan değişiklikleri ve 30 gün sonraki yeniden taramayı yayınlayın. Sonuç çıkmazsa bunu da açıkça yazın.</x:v>
      </x:c>
      <x:c r="X11" s="117" t="str">
        <x:v>ai-arama-icerik-optimizasyonu-kapak.webp | AI arama için içerik optimizasyonu sürecini gösteren kapak
ai-icerik-once-sonra.webp | AI görünürlük için içerik önce ve sonra karşılaştırması
people-first-content-checklist.webp | People-first ve özgün içerik kontrol listesi
prompt-bazli-olcum.webp | İçerik değişikliği sonrası prompt bazlı ölçüm grafiği</x:v>
      </x:c>
      <x:c r="Y11" s="117" t="str">
        <x:v>DexterGPT yazısında içerik optimizasyonu kısa geçiyor; bu başlıkta bağımsız kapsamlı rehber bulunmadı.</x:v>
      </x:c>
      <x:c r="Z11" s="117" t="str">
        <x:f>IF(J11="","",IF(AND(P11&lt;=60,R11&gt;=140,R11&lt;=160),"OK","Check"))</x:f>
        <x:v>OK</x:v>
      </x:c>
      <x:c r="AA11" s="117" t="str">
        <x:v>Rakip rehberler kısa cevap ve FAQ’yu aşırı vurguluyor. Google’ın resmi rehberine uygun biçimde özgün, people-first içerik, teknik erişilebilirlik ve ölçüm döngüsünü merkeze alın.</x:v>
      </x:c>
    </x:row>
    <x:row r="12" ht="72" customHeight="1">
      <x:c r="A12" s="117" t="n">
        <x:v>11</x:v>
      </x:c>
      <x:c r="B12" s="117" t="str">
        <x:v>Brief hazır</x:v>
      </x:c>
      <x:c r="C12" s="117" t="n">
        <x:v>11</x:v>
      </x:c>
      <x:c r="D12" s="117" t="str">
        <x:v>Optimizasyon</x:v>
      </x:c>
      <x:c r="E12" s="117" t="str">
        <x:v>Farkındalık</x:v>
      </x:c>
      <x:c r="F12" s="117" t="str">
        <x:v>PR, içerik, SEO ve marka iletişimi ekipleri</x:v>
      </x:c>
      <x:c r="G12" s="117" t="str">
        <x:v>List post</x:v>
      </x:c>
      <x:c r="H12" s="117" t="str">
        <x:v>HubSpot List Post</x:v>
      </x:c>
      <x:c r="I12" s="117" t="str">
        <x:v>/ai-yanitlarinda-kaynak-gosterilmek/</x:v>
      </x:c>
      <x:c r="J12" s="117" t="str">
        <x:v>Yapay Zeka Yanıtlarında Kaynak Gösterilmek İçin 10 Taktik</x:v>
      </x:c>
      <x:c r="K12" s="117" t="str">
        <x:v>ai-yanitlarinda-kaynak-gosterilmek</x:v>
      </x:c>
      <x:c r="L12" s="117" t="str">
        <x:v>yapay zeka yanıtlarında kaynak gösterilmek</x:v>
      </x:c>
      <x:c r="M12" s="117" t="str">
        <x:v>Bilgilendirici</x:v>
      </x:c>
      <x:c r="N12" s="117" t="str">
        <x:v>AI citation nasıl alınır, ChatGPT kaynak gösterme, Perplexity citation, AI kaynak görünürlüğü, LLM citation tracking, AI referansları, GEO citation strategy, otoriter kaynak oluşturma, özgün veri içeriği, AI citation outreach, ChatGPT link görünürlüğü, AI search citations</x:v>
      </x:c>
      <x:c r="O12" s="117" t="str">
        <x:v>AI Yanıtlarında Kaynak Gösterilme Taktikleri</x:v>
      </x:c>
      <x:c r="P12" s="119" t="n">
        <x:f>IF(O12="","",LEN(O12))</x:f>
        <x:v>44</x:v>
      </x:c>
      <x:c r="Q12" s="117" t="str">
        <x:v>Yapay zeka yanıtlarında kaynak gösterilmek için hangi içerik ve otorite sinyalleri gerekir? 10 etik taktiği uygulayın, AI citation takibine bugün başlayın.</x:v>
      </x:c>
      <x:c r="R12" s="119" t="n">
        <x:f>IF(Q12="","",LEN(Q12))</x:f>
        <x:v>155</x:v>
      </x:c>
      <x:c r="S12" s="117" t="str">
        <x:v>TEMPLATE: HubSpot List Post
    HEDEF UZUNLUK: 1.500–2.000 kelime; 2.500 kelimeyi geçme.
    OKUYUCU: PR, içerik, SEO ve marka iletişimi ekipleri
    FUNNEL AŞAMASI: Farkındalık
    ARAMA NİYETİ: Bilgilendirici
    TON: Profesyonel, anlaşılır, kanıta dayalı ve tarafsız. Reklam dili, abartı, “garantili görünürlük” ve doğrulanmamış üstünlük iddiaları kullanma.
    ANAHTAR KELİMELER
    - Birincil: yapay zeka yanıtlarında kaynak gösterilmek
    - İlgili/uzun kuyruklu: AI citation nasıl alınır, ChatGPT kaynak gösterme, Perplexity citation, AI kaynak görünürlüğü, LLM citation tracking, AI referansları, GEO citation strategy, otoriter kaynak oluşturma, özgün veri içeriği, AI citation outreach, ChatGPT link görünürlüğü, AI search citations
    - Birincil anahtar kelimeyi ilk 100 kelime içinde doğal biçimde kullan.
    - Anahtar kelimeyi en az 3 başlıkta doğal ve dilbilgisel olarak kullan; keyword stuffing yapma.
    AÇILIŞ
    - H1: Yapay Zeka Yanıtlarında Kaynak Gösterilmek İçin 10 Taktik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yazı backlink tavsiyesi veriyor ama AI yanıtında mention ile citation’ı ayırmıyor. Yazı erişilebilir, kanıtlanabilir ve etik citation kazanma sürecini göstermeli.
    ZORUNLU ÖZGÜN KANIT / PROPRIETARY INFORMATION
    Bir sektörde 100 citation URL’sini örnekleyip kaynak türü, içerik formatı, güncellik, özgün veri ve domain türüne göre kodlayın; en sık görülen desenleri tabloya ekleyin.
    Bu çalışma yapılmadan yazıyı yayıma hazır sayma. Test tarihi, prompt sayısı, platformlar, dil/ülke ve yöntem açıkça belirtilsin. Veri üretilemezse sonuç uydurma; “test henüz yapılmadı” notu bırak.
    İÇERİK PLANI
    H2 — AI Citation Nedir?
AI yanıtındaki kaynak linki ile marka mention’ını ayırın; citation’ın platforma göre farklı görünebileceğini açıklayın.
H2 — 1. Özgün Veri ve Araştırma Yayınlayın
Metodoloji, örneklem, tarih ve ham bulgu şeffaflığı.
H2 — 2. Doğrudan Alıntılanabilir Tanımlar Yazın
Net fakat bağlamı koruyan tanım blokları.
H2 — 3. Güncel ve Kaynaklı Karşılaştırmalar Oluşturun
Fiyat/özellik tarih damgası ve resmi kaynak kontrolü.
H2 — 4. Uzman Görüşü ve Birinci El Deneyim Ekleyin
İsim, rol, süreç ve sonuç.
H2 — 5. Entity Bilgilerini Tutarlı Tutun
Organization, yazar, ürün ve iletişim bilgileri.
H2 — 6. İçeriği Teknik Olarak Erişilebilir Yapın
Crawler, noindex, render ve snippet kontrolleri.
H2 — 7. Konu Kümeleriyle Derinlik Oluşturun
Pillar + cluster + iç link.
H2 — 8. Üçüncü Taraf Yayınlarda Gerçek Değer Üretin
PR, konuk uzmanlık, veri ortaklığı; sahte mention’dan kaçının.
H2 — 9. Ulaşılabilir Citation Kaynaklarını Önceliklendirin
Rakip kaynaklarını etki, uygunluk ve erişilebilirliğe göre puanlayın.
H2 — 10. Citation’ları Prompt Bazında İzleyin
Hangi URL’nin hangi promptta kaynak olduğunu ve zamanla değişimi kaydedin.
H2 — Kaçınılması Gereken Taktikler
Sahte dizinler, ücretli spam mention, kaynak çarpıtma, kopya araştırma ve garanti söylemi.
H2 — Sonuç
Citation kazanmanın içerik, teknik ve dijital PR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ChatGPT kaynak olarak hangi siteleri kullanır?
- AI citation ile backlink aynı şey mi?
- Perplexity’de kaynak linki nasıl alınır?
- AI yanıtlarında kendi sitem neden kaynak olmuyor?
- Citation sayısı AI görünürlüğünü garanti eder mi?
    Her cevap 1–3 cümle olsun; soruyu cevabın içinde doğal biçimde tekrar et.
    İÇ LİNKLER
    - /ai-arama-rakip-analizi/ — “rakip citation boşluğu”
- /ai-arama-icerik-optimizasyonu/ — “özgün içerik optimizasyonu”
    Gelecek URL henüz yayımlanmadıysa linki kırık bırakma; içerik yayımlandıktan sonra eklenmek üzere editör notu koy.
    GÖRSEL ÖNERİLERİ
    - ai-citation-taktikleri-kapak.webp | Alt: AI yanıtlarında kaynak gösterilen web sayfalarını anlatan kapak
- ai-citation-turleri.webp | Alt: Mention ve citation farkını gösteren diyagram
- 100-citation-analizi.webp | Alt: 100 AI citation URL analiz tablosu
- etik-citation-yol-haritasi.webp | Alt: Etik AI citation kazanma yol haritası
    Kapak + en az 3 ek görsel kullan. Ekran görüntülerinde tarih ve veri kaynağı belirt; kişisel/müşteri verilerini maskele.
    KAYNAKLAR
    Öncelikle resmi ve birincil kaynakları kullan:
    - https://rankprompt.com/
- https://developers.google.com/search/docs/fundamentals/ai-optimization-guide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2"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2" s="117" t="str">
        <x:v>/ai-arama-rakip-analizi/ — “rakip citation boşluğu”
/ai-arama-icerik-optimizasyonu/ — “özgün içerik optimizasyonu”</x:v>
      </x:c>
      <x:c r="V12" s="117" t="str">
        <x:v>https://rankprompt.com/
https://developers.google.com/search/docs/fundamentals/ai-optimization-guide
https://developers.google.com/search/docs/fundamentals/creating-helpful-content</x:v>
      </x:c>
      <x:c r="W12" s="117" t="str">
        <x:v>Bir sektörde 100 citation URL’sini örnekleyip kaynak türü, içerik formatı, güncellik, özgün veri ve domain türüne göre kodlayın; en sık görülen desenleri tabloya ekleyin.</x:v>
      </x:c>
      <x:c r="X12" s="117" t="str">
        <x:v>ai-citation-taktikleri-kapak.webp | AI yanıtlarında kaynak gösterilen web sayfalarını anlatan kapak
ai-citation-turleri.webp | Mention ve citation farkını gösteren diyagram
100-citation-analizi.webp | 100 AI citation URL analiz tablosu
etik-citation-yol-haritasi.webp | Etik AI citation kazanma yol haritası</x:v>
      </x:c>
      <x:c r="Y12" s="117" t="str">
        <x:v>Tam eşleşen içerik bulunmadı.</x:v>
      </x:c>
      <x:c r="Z12" s="117" t="str">
        <x:f>IF(J12="","",IF(AND(P12&lt;=60,R12&gt;=140,R12&lt;=160),"OK","Check"))</x:f>
        <x:v>OK</x:v>
      </x:c>
      <x:c r="AA12" s="117" t="str">
        <x:v>Birçok yazı backlink tavsiyesi veriyor ama AI yanıtında mention ile citation’ı ayırmıyor. Yazı erişilebilir, kanıtlanabilir ve etik citation kazanma sürecini göstermeli.</x:v>
      </x:c>
    </x:row>
    <x:row r="13" ht="72" customHeight="1">
      <x:c r="A13" s="117" t="n">
        <x:v>12</x:v>
      </x:c>
      <x:c r="B13" s="117" t="str">
        <x:v>Brief hazır</x:v>
      </x:c>
      <x:c r="C13" s="117" t="n">
        <x:v>12</x:v>
      </x:c>
      <x:c r="D13" s="117" t="str">
        <x:v>Optimizasyon</x:v>
      </x:c>
      <x:c r="E13" s="117" t="str">
        <x:v>Farkındalık</x:v>
      </x:c>
      <x:c r="F13" s="117" t="str">
        <x:v>Teknik SEO uzmanları, geliştiriciler, içerik operasyon ekipleri</x:v>
      </x:c>
      <x:c r="G13" s="117" t="str">
        <x:v>How-to</x:v>
      </x:c>
      <x:c r="H13" s="117" t="str">
        <x:v>Contact Studios How-To — ürün tie-in</x:v>
      </x:c>
      <x:c r="I13" s="117" t="str">
        <x:v>/ai-arama-schema-markup/</x:v>
      </x:c>
      <x:c r="J13" s="117" t="str">
        <x:v>AI Arama İçin Schema Markup Rehberi: Ne İşe Yarar, Ne Yapmaz?</x:v>
      </x:c>
      <x:c r="K13" s="117" t="str">
        <x:v>ai-arama-schema-markup</x:v>
      </x:c>
      <x:c r="L13" s="117" t="str">
        <x:v>AI arama schema markup</x:v>
      </x:c>
      <x:c r="M13" s="117" t="str">
        <x:v>Bilgilendirici / teknik</x:v>
      </x:c>
      <x:c r="N13" s="117" t="str">
        <x:v>GEO schema markup, AEO schema, AI için structured data, Article schema, Organization schema, Product schema, LocalBusiness schema, JSON-LD SEO, schema AI görünürlük, ChatGPT schema markup, structured data rehberi, AI search technical SEO</x:v>
      </x:c>
      <x:c r="O13" s="117" t="str">
        <x:v>AI Arama İçin Schema Markup Rehberi</x:v>
      </x:c>
      <x:c r="P13" s="119" t="n">
        <x:f>IF(O13="","",LEN(O13))</x:f>
        <x:v>35</x:v>
      </x:c>
      <x:c r="Q13" s="117" t="str">
        <x:v>AI arama için schema markup nasıl kullanılır, Article ve Organization şeması ne sağlar? Doğru JSON-LD uygulamasını öğrenin, yaygın teknik mitlerden kaçının.</x:v>
      </x:c>
      <x:c r="R13" s="119" t="n">
        <x:f>IF(Q13="","",LEN(Q13))</x:f>
        <x:v>156</x:v>
      </x:c>
      <x:c r="S13" s="117" t="str">
        <x:v>TEMPLATE: Contact Studios How-To — ürün tie-in
    HEDEF UZUNLUK: 1.500–2.000 kelime; 2.500 kelimeyi geçme.
    OKUYUCU: Teknik SEO uzmanları, geliştiriciler, içerik operasyon ekipleri
    FUNNEL AŞAMASI: Farkındalık
    ARAMA NİYETİ: Bilgilendirici / teknik
    TON: Profesyonel, anlaşılır, kanıta dayalı ve tarafsız. Reklam dili, abartı, “garantili görünürlük” ve doğrulanmamış üstünlük iddiaları kullanma.
    ANAHTAR KELİMELER
    - Birincil: AI arama schema markup
    - İlgili/uzun kuyruklu: GEO schema markup, AEO schema, AI için structured data, Article schema, Organization schema, Product schema, LocalBusiness schema, JSON-LD SEO, schema AI görünürlük, ChatGPT schema markup, structured data rehberi, AI search technical SEO
    - Birincil anahtar kelimeyi ilk 100 kelime içinde doğal biçimde kullan.
    - Anahtar kelimeyi en az 3 başlıkta doğal ve dilbilgisel olarak kullan; keyword stuffing yapma.
    AÇILIŞ
    - H1: AI Arama İçin Schema Markup Rehberi: Ne İşe Yarar, Ne Yapmaz?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schema’yı AI görünürlük garantisi gibi sunabiliyor. Yazı Google’ın resmi açıklamasına dayanarak schema’nın anlamlandırma/rich result katkısını ve sınırını netleştirmeli.
    ZORUNLU ÖZGÜN KANIT / PROPRIETARY INFORMATION
    Ortak Alan’daki bir makalenin mevcut structured data çıktısını Rich Results Test ile denetleyin; hataları, önerilen alanları ve düzeltme sonrası sonucu ekran görüntüsüyle yayınlayın.
    Bu çalışma yapılmadan yazıyı yayıma hazır sayma. Test tarihi, prompt sayısı, platformlar, dil/ülke ve yöntem açıkça belirtilsin. Veri üretilemezse sonuç uydurma; “test henüz yapılmadı” notu bırak.
    İÇERİK PLANI
    H2 — Schema Markup AI Görünürlüğünü Garanti Eder mi?
Hayır. Structured data’nın sayfa anlamını açıklamaya ve uygun rich result deneyimlerine yardımcı olduğunu, görünürlük garantisi vermediğini ilk cümlede söyleyin.
H2 — AI Arama İçin En İlgili Schema Türleri
H3: Organization; H3: Article; H3: Product/Offer; H3: LocalBusiness; H3: Breadcrumb; kullanım koşulları.
H2 — 1. Sayfa Türünü Doğru Eşleştirin
Her URL’ye uygun schema seçimi.
H2 — 2. JSON-LD ile Temel Alanları Ekleyin
Gerçek veriye dayalı örnek; uydurma review veya author kullanmayın.
H2 — 3. Yazar ve Kurum Entity’sini Bağlayın
author, publisher, sameAs, logo, url.
H2 — 4. Ürün ve Yerel İşletme Verilerini Güncel Tutun
Fiyat, stok, konum, çalışma saatleri ve resmi feed/profil.
H2 — 5. Rich Results Test ve URL Inspection ile Doğrulayın
Hata, uyarı ve indekslenme kontrolü.
H2 — 6. Schema ile Sayfa İçeriğini Tutarlı Tutun
Görünmeyen veya yanlış bilgiyi işaretlemeyin.
H2 — 7. Etkiyi Doğru Ölçün
Rich result, indekslenme, organik trafik ve AI visibility trendini ayrı izleyin.
H2 — AI Arama Schema Mitleri
Özel AI schema, schema ekleyince ChatGPT önerir, FAQ schema her yerde görünür, llms.txt schema yerine geçer gibi mitler.
H2 — Örnek JSON-LD Şablonları
Article + Organization için kısa, doğrulanabilir örnekler; yayın öncesi geliştirici kontrolü şartı.
H2 — Sonuç
Schema’yı sağlam teknik SEO’nun parçası olarak konumlandırın.
    SONUÇ
    - 100–150 kelime.
    - Yalnızca ana bulguları özetle; yeni bilgi veya yeni iddia ekleme.
    - CTA’yı tek paragrafta, doğal ve baskısız biçimde kullan.
    SSS
    3–7 soru kullan; aşağıdaki sorular long-tail hedefleridir ve mevcut H2’leri tekrar etmemelidir:
    - ChatGPT schema markup okur mu?
- GEO için özel schema türü var mı?
- Article schema AI görünürlüğünü artırır mı?
- FAQ schema kullanmak gerekli mi?
- Schema hataları sıralamayı düşürür mü?
    Her cevap 1–3 cümle olsun; soruyu cevabın içinde doğal biçimde tekrar et.
    İÇ LİNKLER
    - /ai-arama-icerik-optimizasyonu/ — “AI arama için içerik optimizasyonu”
- https://ortakalan.io/dextergpt-nedir/ — “teknik SEO otomasyonu”
    Gelecek URL henüz yayımlanmadıysa linki kırık bırakma; içerik yayımlandıktan sonra eklenmek üzere editör notu koy.
    GÖRSEL ÖNERİLERİ
    - ai-arama-schema-markup-kapak.webp | Alt: AI arama ve JSON-LD structured data kapak görseli
- schema-turleri-tablosu.webp | Alt: Organization Article Product ve LocalBusiness schema tablosu
- rich-results-test-ornegi.webp | Alt: Rich Results Test structured data doğrulama ekranı
- schema-mitleri.webp | Alt: AI arama için schema markup mitleri ve gerçekler
    Kapak + en az 3 ek görsel kullan. Ekran görüntülerinde tarih ve veri kaynağı belirt; kişisel/müşteri verilerini maskele.
    KAYNAKLAR
    Öncelikle resmi ve birincil kaynakları kullan:
    - https://developers.google.com/search/docs/appearance/structured-data/intro-structured-data
- https://developers.google.com/search/docs/appearance/structured-data/sd-policies
- https://developers.google.com/search/docs/appearance/structured-data/article
- https://developers.google.com/search/docs/appearance/structured-data/organization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3"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3" s="117" t="str">
        <x:v>/ai-arama-icerik-optimizasyonu/ — “AI arama için içerik optimizasyonu”
https://ortakalan.io/dextergpt-nedir/ — “teknik SEO otomasyonu”</x:v>
      </x:c>
      <x:c r="V13" s="117" t="str">
        <x:v>https://developers.google.com/search/docs/appearance/structured-data/intro-structured-data
https://developers.google.com/search/docs/appearance/structured-data/sd-policies
https://developers.google.com/search/docs/appearance/structured-data/article
https://developers.google.com/search/docs/appearance/structured-data/organization</x:v>
      </x:c>
      <x:c r="W13" s="117" t="str">
        <x:v>Ortak Alan’daki bir makalenin mevcut structured data çıktısını Rich Results Test ile denetleyin; hataları, önerilen alanları ve düzeltme sonrası sonucu ekran görüntüsüyle yayınlayın.</x:v>
      </x:c>
      <x:c r="X13" s="117" t="str">
        <x:v>ai-arama-schema-markup-kapak.webp | AI arama ve JSON-LD structured data kapak görseli
schema-turleri-tablosu.webp | Organization Article Product ve LocalBusiness schema tablosu
rich-results-test-ornegi.webp | Rich Results Test structured data doğrulama ekranı
schema-mitleri.webp | AI arama için schema markup mitleri ve gerçekler</x:v>
      </x:c>
      <x:c r="Y13" s="117" t="str">
        <x:v>DexterGPT yazısında schema kısa geçiyor; bağımsız uygulama rehberi bulunmadı.</x:v>
      </x:c>
      <x:c r="Z13" s="117" t="str">
        <x:f>IF(J13="","",IF(AND(P13&lt;=60,R13&gt;=140,R13&lt;=160),"OK","Check"))</x:f>
        <x:v>OK</x:v>
      </x:c>
      <x:c r="AA13" s="117" t="str">
        <x:v>Rakip içerikler schema’yı AI görünürlük garantisi gibi sunabiliyor. Yazı Google’ın resmi açıklamasına dayanarak schema’nın anlamlandırma/rich result katkısını ve sınırını netleştirmeli.</x:v>
      </x:c>
    </x:row>
    <x:row r="14" ht="72" customHeight="1">
      <x:c r="A14" s="117" t="n">
        <x:v>13</x:v>
      </x:c>
      <x:c r="B14" s="117" t="str">
        <x:v>Brief hazır</x:v>
      </x:c>
      <x:c r="C14" s="117" t="n">
        <x:v>13</x:v>
      </x:c>
      <x:c r="D14" s="117" t="str">
        <x:v>Optimizasyon</x:v>
      </x:c>
      <x:c r="E14" s="117" t="str">
        <x:v>Farkındalık</x:v>
      </x:c>
      <x:c r="F14" s="117" t="str">
        <x:v>Teknik SEO uzmanları, web geliştiricileri, site sahipleri</x:v>
      </x:c>
      <x:c r="G14" s="117" t="str">
        <x:v>How-to</x:v>
      </x:c>
      <x:c r="H14" s="117" t="str">
        <x:v>Contact Studios How-To — ürün tie-in</x:v>
      </x:c>
      <x:c r="I14" s="117" t="str">
        <x:v>/oai-searchbot-gptbot-robots-txt/</x:v>
      </x:c>
      <x:c r="J14" s="117" t="str">
        <x:v>OAI-SearchBot, GPTBot ve PerplexityBot İçin robots.txt Rehberi</x:v>
      </x:c>
      <x:c r="K14" s="117" t="str">
        <x:v>oai-searchbot-gptbot-robots-txt</x:v>
      </x:c>
      <x:c r="L14" s="117" t="str">
        <x:v>OAI-SearchBot robots.txt</x:v>
      </x:c>
      <x:c r="M14" s="117" t="str">
        <x:v>Bilgilendirici / teknik</x:v>
      </x:c>
      <x:c r="N14" s="117" t="str">
        <x:v>GPTBot robots.txt, PerplexityBot robots.txt, AI crawler robots.txt, ChatGPT search crawler, OAI SearchBot allow, AI bot engelleme, GPTBot ve OAI-SearchBot farkı, Perplexity crawler, robots.txt AI görünürlük, ChatGPT site erişimi, AI crawler audit, noindex ChatGPT</x:v>
      </x:c>
      <x:c r="O14" s="117" t="str">
        <x:v>OAI-SearchBot ve GPTBot Robots.txt Rehberi</x:v>
      </x:c>
      <x:c r="P14" s="119" t="n">
        <x:f>IF(O14="","",LEN(O14))</x:f>
        <x:v>42</x:v>
      </x:c>
      <x:c r="Q14" s="117" t="str">
        <x:v>OAI-SearchBot robots.txt ayarı nasıl yapılır, GPTBot ile PerplexityBot farkı nedir? Örnek kuralları uygulayın, arama görünürlüğü ve eğitim tercihini ayırın.</x:v>
      </x:c>
      <x:c r="R14" s="119" t="n">
        <x:f>IF(Q14="","",LEN(Q14))</x:f>
        <x:v>156</x:v>
      </x:c>
      <x:c r="S14" s="117" t="str">
        <x:v>TEMPLATE: Contact Studios How-To — ürün tie-in
    HEDEF UZUNLUK: 1.500–2.000 kelime; 2.500 kelimeyi geçme.
    OKUYUCU: Teknik SEO uzmanları, web geliştiricileri, site sahipleri
    FUNNEL AŞAMASI: Farkındalık
    ARAMA NİYETİ: Bilgilendirici / teknik
    TON: Profesyonel, anlaşılır, kanıta dayalı ve tarafsız. Reklam dili, abartı, “garantili görünürlük” ve doğrulanmamış üstünlük iddiaları kullanma.
    ANAHTAR KELİMELER
    - Birincil: OAI-SearchBot robots.txt
    - İlgili/uzun kuyruklu: GPTBot robots.txt, PerplexityBot robots.txt, AI crawler robots.txt, ChatGPT search crawler, OAI SearchBot allow, AI bot engelleme, GPTBot ve OAI-SearchBot farkı, Perplexity crawler, robots.txt AI görünürlük, ChatGPT site erişimi, AI crawler audit, noindex ChatGPT
    - Birincil anahtar kelimeyi ilk 100 kelime içinde doğal biçimde kullan.
    - Anahtar kelimeyi en az 3 başlıkta doğal ve dilbilgisel olarak kullan; keyword stuffing yapma.
    AÇILIŞ
    - H1: OAI-SearchBot, GPTBot ve PerplexityBot İçin robots.txt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rehber eğitim botu ile arama botunu karıştırıyor. Yazı OAI-SearchBot, GPTBot ve PerplexityBot amaçlarını resmi kaynaklarla ayırmalı ve gizlilik/görünürlük karar matrisi vermeli.
    ZORUNLU ÖZGÜN KANIT / PROPRIETARY INFORMATION
    Ortak Alan’ın robots.txt dosyasını yayın tarihinde canlı kontrol edin; user-agent kurallarını tabloya dökün, olası çakışmaları ve düzeltme önerilerini gerçek çıktı olarak ekleyin.
    Bu çalışma yapılmadan yazıyı yayıma hazır sayma. Test tarihi, prompt sayısı, platformlar, dil/ülke ve yöntem açıkça belirtilsin. Veri üretilemezse sonuç uydurma; “test henüz yapılmadı” notu bırak.
    İÇERİK PLANI
    H2 — OAI-SearchBot, GPTBot ve PerplexityBot Aynı Şey Değildir
Arama sonuçlarında görünürlük, model eğitimi ve Perplexity search crawling amaçlarını ilk bölümde ayırın.
H2 — Botların Görevleri Karşılaştırma Tablosu
User-agent, amaç, engellemenin etkisi, resmi doküman ve önerilen karar sütunları.
H2 — robots.txt Dosyası Nasıl Kontrol Edilir?
URL, mevcut kurallar, wildcard, crawl erişimi ve test adımları.
H2 — OAI-SearchBot’a İzin Verme Örneği
Resmi dokümana dayalı örnek kural; site özelinde hukuk/gizlilik kontrolü.
H2 — GPTBot’u Ayrı Yönetme Örneği
Arama görünürlüğü ile olası eğitim tercihini ayırın.
H2 — PerplexityBot’a İzin Verme veya Engelleme
Resmi user-agent ve yayınlanmış IP doğrulama notu.
H2 — noindex, robots.txt ve Meta Robots Farkı
Botun noindex’i okuyabilmesi için crawl erişiminin gerekebileceğini açıklayın.
H2 — Yaygın Yapılandırma Hataları
Tüm botları wildcard ile istemeden engelleme, çelişkili kurallar, CDN/WAF blokları, yanlış user-agent, staging kurallarını production’a taşıma.
H2 — AI Crawler Audit Kontrol Listesi
robots, HTTP status, render, canonical, noindex, firewall, log kayıtları.
H2 — Sonuç
Teknik tercihin görünürlük, eğitim ve gizlilik hedefleriyle uyumlu olması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OAI-SearchBot engellenirse ChatGPT’de görünür müyüm?
- GPTBot’u engellemek ChatGPT Search’ü etkiler mi?
- PerplexityBot hangi amaçla tarama yapar?
- robots.txt ile AI eğitimi tamamen engellenir mi?
- noindex ve robots.txt arasındaki fark nedir?
    Her cevap 1–3 cümle olsun; soruyu cevabın içinde doğal biçimde tekrar et.
    İÇ LİNKLER
    - /chatgpt-markami-neden-onermiyor/ — “ChatGPT görünmezliği nedenleri”
- /ai-arama-schema-markup/ — “AI arama teknik SEO”
    Gelecek URL henüz yayımlanmadıysa linki kırık bırakma; içerik yayımlandıktan sonra eklenmek üzere editör notu koy.
    GÖRSEL ÖNERİLERİ
    - ai-crawler-robots-txt-kapak.webp | Alt: OAI-SearchBot GPTBot ve PerplexityBot robots.txt kapak görseli
- ai-bot-karsilastirma.webp | Alt: AI crawler user-agent karşılaştırma tablosu
- robots-txt-ornekleri.webp | Alt: OAI-SearchBot ve GPTBot için robots.txt örnekleri
- ai-crawler-audit.webp | Alt: AI crawler erişim denetimi kontrol listesi
    Kapak + en az 3 ek görsel kullan. Ekran görüntülerinde tarih ve veri kaynağı belirt; kişisel/müşteri verilerini maskele.
    KAYNAKLAR
    Öncelikle resmi ve birincil kaynakları kullan:
    - https://help.openai.com/en/articles/12627856-publishers-and-developers-faq
- https://docs.perplexity.ai/docs/resources/perplexity-crawlers
- https://developers.google.com/search/docs/crawling-indexing/robots-meta-tag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4"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4" s="117" t="str">
        <x:v>/chatgpt-markami-neden-onermiyor/ — “ChatGPT görünmezliği nedenleri”
/ai-arama-schema-markup/ — “AI arama teknik SEO”</x:v>
      </x:c>
      <x:c r="V14" s="117" t="str">
        <x:v>https://help.openai.com/en/articles/12627856-publishers-and-developers-faq
https://docs.perplexity.ai/docs/resources/perplexity-crawlers
https://developers.google.com/search/docs/crawling-indexing/robots-meta-tag</x:v>
      </x:c>
      <x:c r="W14" s="117" t="str">
        <x:v>Ortak Alan’ın robots.txt dosyasını yayın tarihinde canlı kontrol edin; user-agent kurallarını tabloya dökün, olası çakışmaları ve düzeltme önerilerini gerçek çıktı olarak ekleyin.</x:v>
      </x:c>
      <x:c r="X14" s="117" t="str">
        <x:v>ai-crawler-robots-txt-kapak.webp | OAI-SearchBot GPTBot ve PerplexityBot robots.txt kapak görseli
ai-bot-karsilastirma.webp | AI crawler user-agent karşılaştırma tablosu
robots-txt-ornekleri.webp | OAI-SearchBot ve GPTBot için robots.txt örnekleri
ai-crawler-audit.webp | AI crawler erişim denetimi kontrol listesi</x:v>
      </x:c>
      <x:c r="Y14" s="117" t="str">
        <x:v>Tam eşleşen AI crawler/robots.txt rehberi bulunmadı.</x:v>
      </x:c>
      <x:c r="Z14" s="117" t="str">
        <x:f>IF(J14="","",IF(AND(P14&lt;=60,R14&gt;=140,R14&lt;=160),"OK","Check"))</x:f>
        <x:v>OK</x:v>
      </x:c>
      <x:c r="AA14" s="117" t="str">
        <x:v>Çoğu rehber eğitim botu ile arama botunu karıştırıyor. Yazı OAI-SearchBot, GPTBot ve PerplexityBot amaçlarını resmi kaynaklarla ayırmalı ve gizlilik/görünürlük karar matrisi vermeli.</x:v>
      </x:c>
    </x:row>
    <x:row r="15" ht="72" customHeight="1">
      <x:c r="A15" s="117" t="n">
        <x:v>14</x:v>
      </x:c>
      <x:c r="B15" s="117" t="str">
        <x:v>Brief hazır</x:v>
      </x:c>
      <x:c r="C15" s="117" t="n">
        <x:v>14</x:v>
      </x:c>
      <x:c r="D15" s="117" t="str">
        <x:v>Ölçüm ve raporlama</x:v>
      </x:c>
      <x:c r="E15" s="117" t="str">
        <x:v>Değerlendirme</x:v>
      </x:c>
      <x:c r="F15" s="117" t="str">
        <x:v>Growth analistleri, içerik yöneticileri, SEO ve BI ekipleri</x:v>
      </x:c>
      <x:c r="G15" s="117" t="str">
        <x:v>How-to</x:v>
      </x:c>
      <x:c r="H15" s="117" t="str">
        <x:v>Contact Studios How-To — ürün tie-in</x:v>
      </x:c>
      <x:c r="I15" s="117" t="str">
        <x:v>/chatgpt-trafigi-ga4/</x:v>
      </x:c>
      <x:c r="J15" s="117" t="str">
        <x:v>ChatGPT’den Gelen Trafik GA4’te Nasıl Ölçülür? Adım Adım</x:v>
      </x:c>
      <x:c r="K15" s="117" t="str">
        <x:v>chatgpt-trafigi-ga4</x:v>
      </x:c>
      <x:c r="L15" s="117" t="str">
        <x:v>ChatGPT trafiği GA4</x:v>
      </x:c>
      <x:c r="M15" s="117" t="str">
        <x:v>Bilgilendirici / teknik</x:v>
      </x:c>
      <x:c r="N15" s="117" t="str">
        <x:v>ChatGPT referral traffic, chatgpt.com GA4, utm_source chatgpt.com, AI referral traffic, ChatGPT trafik ölçümü, GA4 session source medium, AI traffic analytics, ChatGPT landing page, Perplexity referral GA4, AI dönüşüm takibi, GA4 custom channel group, LLM trafik raporu</x:v>
      </x:c>
      <x:c r="O15" s="117" t="str">
        <x:v>ChatGPT Trafiği GA4’te Nasıl Ölçülür?</x:v>
      </x:c>
      <x:c r="P15" s="119" t="n">
        <x:f>IF(O15="","",LEN(O15))</x:f>
        <x:v>37</x:v>
      </x:c>
      <x:c r="Q15" s="117" t="str">
        <x:v>ChatGPT trafiği GA4’te nasıl bulunur, utm_source=chatgpt.com ve referral verisi nasıl analiz edilir? Raporu kurun, landing page ve dönüşümleri izleyin.</x:v>
      </x:c>
      <x:c r="R15" s="119" t="n">
        <x:f>IF(Q15="","",LEN(Q15))</x:f>
        <x:v>151</x:v>
      </x:c>
      <x:c r="S15" s="117" t="str">
        <x:v>TEMPLATE: Contact Studios How-To — ürün tie-in
    HEDEF UZUNLUK: 1.500–2.000 kelime; 2.500 kelimeyi geçme.
    OKUYUCU: Growth analistleri, içerik yöneticileri, SEO ve BI ekipleri
    FUNNEL AŞAMASI: Değerlendirme
    ARAMA NİYETİ: Bilgilendirici / teknik
    TON: Profesyonel, anlaşılır, kanıta dayalı ve tarafsız. Reklam dili, abartı, “garantili görünürlük” ve doğrulanmamış üstünlük iddiaları kullanma.
    ANAHTAR KELİMELER
    - Birincil: ChatGPT trafiği GA4
    - İlgili/uzun kuyruklu: ChatGPT referral traffic, chatgpt.com GA4, utm_source chatgpt.com, AI referral traffic, ChatGPT trafik ölçümü, GA4 session source medium, AI traffic analytics, ChatGPT landing page, Perplexity referral GA4, AI dönüşüm takibi, GA4 custom channel group, LLM trafik raporu
    - Birincil anahtar kelimeyi ilk 100 kelime içinde doğal biçimde kullan.
    - Anahtar kelimeyi en az 3 başlıkta doğal ve dilbilgisel olarak kullan; keyword stuffing yapma.
    AÇILIŞ
    - H1: ChatGPT’den Gelen Trafik GA4’te Nasıl Ölçülür? Adım Adım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rehber yalnızca referral filtresi gösteriyor. Yazı OpenAI’nin otomatik utm_source bilgisini, session source/medium, landing page ve dönüşüm analizini tek akışta anlatmalı.
    ZORUNLU ÖZGÜN KANIT / PROPRIETARY INFORMATION
    Ortak Alan GA4 verisinde son 90 günü inceleyin; chatgpt.com kaynaklı oturum, landing page, engagement ve dönüşüm verilerini anonimleştirilmiş ekran görüntüsü ve tarih aralığıyla yayınlayın. Veri yoksa '0' bulgusunu da paylaşın.
    Bu çalışma yapılmadan yazıyı yayıma hazır sayma. Test tarihi, prompt sayısı, platformlar, dil/ülke ve yöntem açıkça belirtilsin. Veri üretilemezse sonuç uydurma; “test henüz yapılmadı” notu bırak.
    İÇERİK PLANI
    H2 — ChatGPT Trafiği GA4’te Görülebilir mi?
Evet; yönlendirme ve UTM bilgisi geldiğinde GA4 source/medium boyutlarında izlenebilir. Tüm AI etkisinin referral trafiğine dönüşmediğini belirtin.
H2 — OpenAI’nin utm_source=chatgpt.com Parametresi
Resmi bilgi ve ne anlama geldiği.
H2 — 1. Traffic Acquisition Raporunu Açın
Reports → Acquisition → Traffic acquisition.
H2 — 2. Session Source / Medium Boyutunu Kullanın
chatgpt.com ve olası referral varyasyonlarını filtreleyin.
H2 — 3. Landing Page + Query String Ekleyin
Hangi içeriklerin AI tıklaması aldığını bulun.
H2 — 4. Engagement ve Dönüşümleri Karşılaştırın
Engaged sessions, engagement rate, key events, revenue/lead.
H2 — 5. Özel Keşif veya Rapor Oluşturun
Kaynak, landing page, device, country ve conversion kırılımları.
H2 — 6. AI Trafiği İçin Custom Channel Group Düşünün
ChatGPT, Perplexity ve diğer AI referrer’ları bir araya getirme mantığı; kurulumun property yapısına göre değişebileceğini belirtin.
H2 — 7. Görünürlük Verisiyle Trafiği Eşleyin
Prompt/citation görünürlüğü ile GA4 landing page trendini korelasyon olarak değerlendirin; nedensellik iddia etmeyin.
H2 — Ölçüm Sınırlamaları
No-referrer/direct, uygulama içi tıklama, dark traffic, düşük hacim ve attribution.
H2 — Sonuç
GA4 trafiği ile AI visibility ölçümünün birbirini tamamladığını özetleyin.
    SONUÇ
    - 100–150 kelime.
    - Yalnızca ana bulguları özetle; yeni bilgi veya yeni iddia ekleme.
    - CTA’yı tek paragrafta, doğal ve baskısız biçimde kullan.
    SSS
    3–7 soru kullan; aşağıdaki sorular long-tail hedefleridir ve mevcut H2’leri tekrar etmemelidir:
    - ChatGPT trafiği GA4’te hangi kaynakta görünür?
- utm_source=chatgpt.com otomatik eklenir mi?
- AI trafiği neden direct olarak görünebilir?
- Perplexity trafiği GA4’te nasıl bulunur?
- ChatGPT trafiğinin dönüşümü nasıl ölçülür?
    Her cevap 1–3 cümle olsun; soruyu cevabın içinde doğal biçimde tekrar et.
    İÇ LİNKLER
    - /ai-gorunurluk-raporu/ — “AI görünürlük raporu”
- /chatgpt-marka-gorunurlugu-olcme/ — “ChatGPT görünürlük ölçümü”
    Gelecek URL henüz yayımlanmadıysa linki kırık bırakma; içerik yayımlandıktan sonra eklenmek üzere editör notu koy.
    GÖRSEL ÖNERİLERİ
    - chatgpt-trafigi-ga4-kapak.webp | Alt: GA4 üzerinde ChatGPT referral trafiğini gösteren kapak
- ga4-session-source-medium.webp | Alt: GA4 session source medium filtresi örneği
- chatgpt-landing-page-raporu.webp | Alt: ChatGPT kaynaklı landing page raporu
- ai-traffic-dashboard.webp | Alt: AI referral trafik ve dönüşüm dashboard örneği
    Kapak + en az 3 ek görsel kullan. Ekran görüntülerinde tarih ve veri kaynağı belirt; kişisel/müşteri verilerini maskele.
    KAYNAKLAR
    Öncelikle resmi ve birincil kaynakları kullan:
    - https://help.openai.com/en/articles/12627856-publishers-and-developers-faq
- https://support.google.com/analytics/answer/12923437
- https://support.google.com/analytics/answer/12931766
- https://support.google.com/analytics/answer/11242870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5"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5" s="117" t="str">
        <x:v>/ai-gorunurluk-raporu/ — “AI görünürlük raporu”
/chatgpt-marka-gorunurlugu-olcme/ — “ChatGPT görünürlük ölçümü”</x:v>
      </x:c>
      <x:c r="V15" s="117" t="str">
        <x:v>https://help.openai.com/en/articles/12627856-publishers-and-developers-faq
https://support.google.com/analytics/answer/12923437
https://support.google.com/analytics/answer/12931766
https://support.google.com/analytics/answer/11242870</x:v>
      </x:c>
      <x:c r="W15" s="117" t="str">
        <x:v>Ortak Alan GA4 verisinde son 90 günü inceleyin; chatgpt.com kaynaklı oturum, landing page, engagement ve dönüşüm verilerini anonimleştirilmiş ekran görüntüsü ve tarih aralığıyla yayınlayın. Veri yoksa '0' bulgusunu da paylaşın.</x:v>
      </x:c>
      <x:c r="X15" s="117" t="str">
        <x:v>chatgpt-trafigi-ga4-kapak.webp | GA4 üzerinde ChatGPT referral trafiğini gösteren kapak
ga4-session-source-medium.webp | GA4 session source medium filtresi örneği
chatgpt-landing-page-raporu.webp | ChatGPT kaynaklı landing page raporu
ai-traffic-dashboard.webp | AI referral trafik ve dönüşüm dashboard örneği</x:v>
      </x:c>
      <x:c r="Y15" s="117" t="str">
        <x:v>Tam eşleşen içerik bulunmadı.</x:v>
      </x:c>
      <x:c r="Z15" s="117" t="str">
        <x:f>IF(J15="","",IF(AND(P15&lt;=60,R15&gt;=140,R15&lt;=160),"OK","Check"))</x:f>
        <x:v>OK</x:v>
      </x:c>
      <x:c r="AA15" s="117" t="str">
        <x:v>Birçok rehber yalnızca referral filtresi gösteriyor. Yazı OpenAI’nin otomatik utm_source bilgisini, session source/medium, landing page ve dönüşüm analizini tek akışta anlatmalı.</x:v>
      </x:c>
    </x:row>
    <x:row r="16" ht="72" customHeight="1">
      <x:c r="A16" s="117" t="n">
        <x:v>15</x:v>
      </x:c>
      <x:c r="B16" s="117" t="str">
        <x:v>Brief hazır</x:v>
      </x:c>
      <x:c r="C16" s="117" t="n">
        <x:v>15</x:v>
      </x:c>
      <x:c r="D16" s="117" t="str">
        <x:v>Ölçüm ve raporlama</x:v>
      </x:c>
      <x:c r="E16" s="117" t="str">
        <x:v>Değerlendirme</x:v>
      </x:c>
      <x:c r="F16" s="117" t="str">
        <x:v>SEO ekipleri, yayıncılar, e-ticaret ve içerik yöneticileri</x:v>
      </x:c>
      <x:c r="G16" s="117" t="str">
        <x:v>How-to</x:v>
      </x:c>
      <x:c r="H16" s="117" t="str">
        <x:v>Contact Studios How-To — ürün tie-in</x:v>
      </x:c>
      <x:c r="I16" s="117" t="str">
        <x:v>/google-ai-overviews-gorunurluk/</x:v>
      </x:c>
      <x:c r="J16" s="117" t="str">
        <x:v>Google AI Overviews ve AI Mode Görünürlüğü Nasıl İzlenir?</x:v>
      </x:c>
      <x:c r="K16" s="117" t="str">
        <x:v>google-ai-overviews-gorunurluk</x:v>
      </x:c>
      <x:c r="L16" s="117" t="str">
        <x:v>Google AI Overviews görünürlük takibi</x:v>
      </x:c>
      <x:c r="M16" s="117" t="str">
        <x:v>Bilgilendirici / ticari araştırma</x:v>
      </x:c>
      <x:c r="N16" s="117" t="str">
        <x:v>AI Overviews tracking, Google AI Mode görünürlüğü, AI Overview citation, Google generative search SEO, Search Console AI performance, AI Mode kaynak takibi, Google AI görünürlük, AI Overview ölçümü, query fan-out SEO, Google generative AI report, AI Overviews trafik, Google AI citation</x:v>
      </x:c>
      <x:c r="O16" s="117" t="str">
        <x:v>Google AI Overviews Görünürlüğü Nasıl İzlenir?</x:v>
      </x:c>
      <x:c r="P16" s="119" t="n">
        <x:f>IF(O16="","",LEN(O16))</x:f>
        <x:v>46</x:v>
      </x:c>
      <x:c r="Q16" s="117" t="str">
        <x:v>Google AI Overviews görünürlük takibi nasıl yapılır ve AI Mode performansı nasıl ölçülür? Search Console, kaynak linkleri ve prompt testlerini beraber kullanın.</x:v>
      </x:c>
      <x:c r="R16" s="119" t="n">
        <x:f>IF(Q16="","",LEN(Q16))</x:f>
        <x:v>160</x:v>
      </x:c>
      <x:c r="S16" s="117" t="str">
        <x:v>TEMPLATE: Contact Studios How-To — ürün tie-in
    HEDEF UZUNLUK: 1.500–2.000 kelime; 2.500 kelimeyi geçme.
    OKUYUCU: SEO ekipleri, yayıncılar, e-ticaret ve içerik yöneticileri
    FUNNEL AŞAMASI: Değerlendirme
    ARAMA NİYETİ: Bilgilendirici / ticari araştırma
    TON: Profesyonel, anlaşılır, kanıta dayalı ve tarafsız. Reklam dili, abartı, “garantili görünürlük” ve doğrulanmamış üstünlük iddiaları kullanma.
    ANAHTAR KELİMELER
    - Birincil: Google AI Overviews görünürlük takibi
    - İlgili/uzun kuyruklu: AI Overviews tracking, Google AI Mode görünürlüğü, AI Overview citation, Google generative search SEO, Search Console AI performance, AI Mode kaynak takibi, Google AI görünürlük, AI Overview ölçümü, query fan-out SEO, Google generative AI report, AI Overviews trafik, Google AI citation
    - Birincil anahtar kelimeyi ilk 100 kelime içinde doğal biçimde kullan.
    - Anahtar kelimeyi en az 3 başlıkta doğal ve dilbilgisel olarak kullan; keyword stuffing yapma.
    AÇILIŞ
    - H1: Google AI Overviews ve AI Mode Görünürlüğü Nasıl İzlenir?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Rehberler çoğu zaman özel 'GEO hack' öneriyor. Yazı Google’ın resmi olarak temel SEO uygulamalarını, people-first içeriği ve teknik uygunluğu vurguladığını açıkça anlatmalı.
    ZORUNLU ÖZGÜN KANIT / PROPRIETARY INFORMATION
    20 bilgi ve ticari sorguda AI Overview/AI Mode varlığı, Ortak Alan veya örnek sitenin citation olup olmadığı ve klasik organik pozisyonu aynı tabloda karşılaştırın.
    Bu çalışma yapılmadan yazıyı yayıma hazır sayma. Test tarihi, prompt sayısı, platformlar, dil/ülke ve yöntem açıkça belirtilsin. Veri üretilemezse sonuç uydurma; “test henüz yapılmadı” notu bırak.
    İÇERİK PLANI
    H2 — Google AI Overviews ve AI Mode Nedir?
İki deneyimi, doğrudan yanıt ve kaynak linkleri bağlamında kısa tanımlayın.
H2 — Google’ın Resmi Görüşü: Temel SEO Hâlâ Geçerli
Ek teknik gereksinim olmadığını, sayfanın indekslenebilir ve snippet için uygun olması gerektiğini aktarın.
H2 — Query Fan-Out Ne Anlama Gelir?
Bir sorgunun alt sorulara ayrılması ve farklı kaynakların keşfedilebilmesi.
H2 — 1. Hedef Sorgu Seti Oluşturun
Bilgi, karşılaştırma, ürün ve yerel niyet.
H2 — 2. AI Overview/Mode Varlığını ve Kaynakları Kaydedin
Tarih, ülke, dil, cihaz ve sorgu.
H2 — 3. Search Console Verisini İzleyin
Mevcut generative AI performans raporu/raporlama özelliklerini resmi dokümana göre güncel kontrol edin; klasik query/page verisiyle birlikte değerlendirin.
H2 — 4. Citation ve Landing Page’leri Eşleyin
Hangi sayfanın hangi alt soruda kaynak olduğuna bakın.
H2 — 5. Teknik ve İçerik Uygunluğunu Denetleyin
İndeks, snippet, people-first içerik, özgün değer, görsel/video ve site deneyimi.
H2 — 6. Değişiklikleri Yeniden Test Edin
Aynı sorgular, tarih kaydı ve trend.
H2 — Kaçınılması Gereken Mitler
llms.txt zorunlu, özel AI schema, içerik chunking şart, yapay mention satın alma ve garanti söylemleri.
H2 — Sonuç
Google generative search görünürlüğünün temel SEO + özgün içerik + ölçüm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AI Overviews için ayrı SEO gerekir mi?
- Google AI Mode trafiği Search Console’da görünür mü?
- AI Overview kaynakları nasıl seçilir?
- llms.txt Google AI Overviews için gerekli mi?
- AI Overviews görünürlüğü nasıl ölçülür?
    Her cevap 1–3 cümle olsun; soruyu cevabın içinde doğal biçimde tekrar et.
    İÇ LİNKLER
    - /aeo-geo-seo-farki/ — “GEO ve SEO farkı”
- /ai-arama-icerik-optimizasyonu/ — “AI arama içerik optimizasyonu”
    Gelecek URL henüz yayımlanmadıysa linki kırık bırakma; içerik yayımlandıktan sonra eklenmek üzere editör notu koy.
    GÖRSEL ÖNERİLERİ
    - google-ai-overviews-kapak.webp | Alt: Google AI Overviews ve AI Mode görünürlük takibi kapak görseli
- query-fan-out.webp | Alt: Google query fan-out sürecini anlatan diyagram
- ai-overview-kaynak-tablosu.webp | Alt: AI Overview kaynak ve organik sıra karşılaştırma tablosu
- google-ai-mitleri.webp | Alt: Google generative AI arama mitleri ve gerçekler
    Kapak + en az 3 ek görsel kullan. Ekran görüntülerinde tarih ve veri kaynağı belirt; kişisel/müşteri verilerini maskele.
    KAYNAKLAR
    Öncelikle resmi ve birincil kaynakları kullan:
    - https://developers.google.com/search/docs/appearance/ai-features
- https://developers.google.com/search/docs/fundamentals/ai-optimization-guide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6"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6" s="117" t="str">
        <x:v>/aeo-geo-seo-farki/ — “GEO ve SEO farkı”
/ai-arama-icerik-optimizasyonu/ — “AI arama içerik optimizasyonu”</x:v>
      </x:c>
      <x:c r="V16" s="117" t="str">
        <x:v>https://developers.google.com/search/docs/appearance/ai-features
https://developers.google.com/search/docs/fundamentals/ai-optimization-guide
https://developers.google.com/search/docs/fundamentals/third-party-seo</x:v>
      </x:c>
      <x:c r="W16" s="117" t="str">
        <x:v>20 bilgi ve ticari sorguda AI Overview/AI Mode varlığı, Ortak Alan veya örnek sitenin citation olup olmadığı ve klasik organik pozisyonu aynı tabloda karşılaştırın.</x:v>
      </x:c>
      <x:c r="X16" s="117" t="str">
        <x:v>google-ai-overviews-kapak.webp | Google AI Overviews ve AI Mode görünürlük takibi kapak görseli
query-fan-out.webp | Google query fan-out sürecini anlatan diyagram
ai-overview-kaynak-tablosu.webp | AI Overview kaynak ve organik sıra karşılaştırma tablosu
google-ai-mitleri.webp | Google generative AI arama mitleri ve gerçekler</x:v>
      </x:c>
      <x:c r="Y16" s="117" t="str">
        <x:v>DexterGPT yazısında AI Overviews kısa anılıyor; bağımsız ölçüm rehberi bulunmadı.</x:v>
      </x:c>
      <x:c r="Z16" s="117" t="str">
        <x:f>IF(J16="","",IF(AND(P16&lt;=60,R16&gt;=140,R16&lt;=160),"OK","Check"))</x:f>
        <x:v>OK</x:v>
      </x:c>
      <x:c r="AA16" s="117" t="str">
        <x:v>Rehberler çoğu zaman özel 'GEO hack' öneriyor. Yazı Google’ın resmi olarak temel SEO uygulamalarını, people-first içeriği ve teknik uygunluğu vurguladığını açıkça anlatmalı.</x:v>
      </x:c>
    </x:row>
    <x:row r="17" ht="72" customHeight="1">
      <x:c r="A17" s="117" t="n">
        <x:v>16</x:v>
      </x:c>
      <x:c r="B17" s="117" t="str">
        <x:v>Brief hazır</x:v>
      </x:c>
      <x:c r="C17" s="117" t="n">
        <x:v>16</x:v>
      </x:c>
      <x:c r="D17" s="117" t="str">
        <x:v>Sektörel kullanım</x:v>
      </x:c>
      <x:c r="E17" s="117" t="str">
        <x:v>Değerlendirme</x:v>
      </x:c>
      <x:c r="F17" s="117" t="str">
        <x:v>B2B SaaS kurucuları, growth ve içerik ekipleri</x:v>
      </x:c>
      <x:c r="G17" s="117" t="str">
        <x:v>How-to</x:v>
      </x:c>
      <x:c r="H17" s="117" t="str">
        <x:v>Contact Studios How-To — ürün tie-in</x:v>
      </x:c>
      <x:c r="I17" s="117" t="str">
        <x:v>/saas-geo-stratejisi/</x:v>
      </x:c>
      <x:c r="J17" s="117" t="str">
        <x:v>SaaS Şirketleri İçin GEO Stratejisi: 90 Günlük Uygulama Planı</x:v>
      </x:c>
      <x:c r="K17" s="117" t="str">
        <x:v>saas-geo-stratejisi</x:v>
      </x:c>
      <x:c r="L17" s="117" t="str">
        <x:v>SaaS GEO stratejisi</x:v>
      </x:c>
      <x:c r="M17" s="117" t="str">
        <x:v>Bilgilendirici / ticari araştırma</x:v>
      </x:c>
      <x:c r="N17" s="117" t="str">
        <x:v>SaaS AI görünürlük, B2B SaaS GEO, ChatGPT SaaS önerileri, SaaS AEO stratejisi, SaaS content strategy AI, SaaS citation building, SaaS competitor prompts, AI search for SaaS, SaaS brand visibility, GEO roadmap, LLM SaaS marketing, AI discovery SaaS</x:v>
      </x:c>
      <x:c r="O17" s="117" t="str">
        <x:v>SaaS Şirketleri İçin GEO Stratejisi</x:v>
      </x:c>
      <x:c r="P17" s="119" t="n">
        <x:f>IF(O17="","",LEN(O17))</x:f>
        <x:v>35</x:v>
      </x:c>
      <x:c r="Q17" s="117" t="str">
        <x:v>SaaS GEO stratejisi nasıl kurulur ve ChatGPT’de SaaS görünürlüğü nasıl artırılır? 90 günlük planı uygulayın, ürün ve rakip promptlarını düzenli ölçün.</x:v>
      </x:c>
      <x:c r="R17" s="119" t="n">
        <x:f>IF(Q17="","",LEN(Q17))</x:f>
        <x:v>150</x:v>
      </x:c>
      <x:c r="S17" s="117" t="str">
        <x:v>TEMPLATE: Contact Studios How-To — ürün tie-in
    HEDEF UZUNLUK: 1.500–2.000 kelime; 2.500 kelimeyi geçme.
    OKUYUCU: B2B SaaS kurucuları, growth ve içerik ekipleri
    FUNNEL AŞAMASI: Değerlendirme
    ARAMA NİYETİ: Bilgilendirici / ticari araştırma
    TON: Profesyonel, anlaşılır, kanıta dayalı ve tarafsız. Reklam dili, abartı, “garantili görünürlük” ve doğrulanmamış üstünlük iddiaları kullanma.
    ANAHTAR KELİMELER
    - Birincil: SaaS GEO stratejisi
    - İlgili/uzun kuyruklu: SaaS AI görünürlük, B2B SaaS GEO, ChatGPT SaaS önerileri, SaaS AEO stratejisi, SaaS content strategy AI, SaaS citation building, SaaS competitor prompts, AI search for SaaS, SaaS brand visibility, GEO roadmap, LLM SaaS marketing, AI discovery SaaS
    - Birincil anahtar kelimeyi ilk 100 kelime içinde doğal biçimde kullan.
    - Anahtar kelimeyi en az 3 başlıkta doğal ve dilbilgisel olarak kullan; keyword stuffing yapma.
    AÇILIŞ
    - H1: SaaS Şirketleri İçin GEO Stratejisi: 90 Günlük Uygulama Planı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GEO rehberleri SaaS satın alma yolculuğunu, alternatif/comparison sorgularını, integration ve use-case sayfalarını yeterince işlemiyor.
    ZORUNLU ÖZGÜN KANIT / PROPRIETARY INFORMATION
    Bir SaaS için 50 promptu problem, kategori, alternatif, karşılaştırma ve satın alma niyetine göre sınıflandırın; 90 günlük planın başında ve sonunda görünürlük farkını yayınlayın.
    Bu çalışma yapılmadan yazıyı yayıma hazır sayma. Test tarihi, prompt sayısı, platformlar, dil/ülke ve yöntem açıkça belirtilsin. Veri üretilemezse sonuç uydurma; “test henüz yapılmadı” notu bırak.
    İÇERİK PLANI
    H2 — SaaS İçin GEO Neden Farklıdır?
Uzun değerlendirme süreci, kategori eğitimi, rakip karşılaştırması, entegrasyon ve güven kanıtı.
H2 — 90 Günlük SaaS GEO Planı
Üç fazı kısa tabloyla özetleyin.
H2 — Gün 1-30: Baseline ve Temel Varlıklar
H3: 50 prompt haritası; H3: rakip seti; H3: entity/brand audit; H3: ürün, use-case, integration ve pricing sayfaları; H3: crawler/index kontrolleri.
H2 — Gün 31-60: İçerik ve Kanıt Üretimi
H3: problem/solution içerikleri; H3: alternatif ve karşılaştırma sayfaları; H3: gerçek vaka/veri; H3: uzman görüşü; H3: third-party mention planı.
H2 — Gün 61-90: Citation, Dağıtım ve Yeniden Ölçüm
H3: kaynak gap; H3: dijital PR; H3: partner/marketplace profilleri; H3: prompt bazlı yeniden tarama; H3: rapor.
H2 — SaaS GEO İçin Öncelikli Sayfa Türleri
Ana sayfa, kategori, use-case, integration, comparison, alternatives, case study, docs ve pricing.
H2 — SaaS GEO KPI’ları
Weighted visibility, category prompt coverage, competitor share, citation quality, referral traffic, demo/lead.
H2 — Rank Prompt ile SaaS Görünürlüğü Nasıl İzlenir?
Platformu ölçüm ve gap analizi örneği olarak kısa, şeffaf bir bölümde kullanın.
H2 — Sonuç
90 günlük döngünün ölçüm, kanıt ve dağıtım üzerine kurulu olduğunu özetleyin.
    SONUÇ
    - 100–150 kelime.
    - Yalnızca ana bulguları özetle; yeni bilgi veya yeni iddia ekleme.
    - CTA’yı tek paragrafta, doğal ve baskısız biçimde kullan.
    SSS
    3–7 soru kullan; aşağıdaki sorular long-tail hedefleridir ve mevcut H2’leri tekrar etmemelidir:
    - SaaS GEO çalışmalarına hangi sayfadan başlanmalı?
- ChatGPT SaaS ürünlerini neye göre önerir?
- SaaS için kaç prompt izlenmeli?
- GEO demo taleplerini artırır mı?
- SaaS GEO ve product-led SEO birlikte yürütülür mü?
    Her cevap 1–3 cümle olsun; soruyu cevabın içinde doğal biçimde tekrar et.
    İÇ LİNKLER
    - https://ortakalan.io/saas-bridge-nedir/ — “SaaS ekosistemi”
- /ai-arama-rakip-analizi/ — “AI rakip analizi”
- /rank-prompt-nedir/ — “SaaS için AI görünürlük aracı”
    Gelecek URL henüz yayımlanmadıysa linki kırık bırakma; içerik yayımlandıktan sonra eklenmek üzere editör notu koy.
    GÖRSEL ÖNERİLERİ
    - saas-geo-stratejisi-kapak.webp | Alt: B2B SaaS için 90 günlük GEO stratejisi kapak görseli
- saas-prompt-haritasi.webp | Alt: SaaS satın alma yolculuğuna göre prompt haritası
- 90-gun-saas-geo.webp | Alt: 90 günlük SaaS GEO uygulama takvimi
- saas-geo-kpi.webp | Alt: SaaS GEO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https://rankprompt.com/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7"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7" s="117" t="str">
        <x:v>https://ortakalan.io/saas-bridge-nedir/ — “SaaS ekosistemi”
/ai-arama-rakip-analizi/ — “AI rakip analizi”
/rank-prompt-nedir/ — “SaaS için AI görünürlük aracı”</x:v>
      </x:c>
      <x:c r="V17" s="117" t="str">
        <x:v>https://developers.google.com/search/docs/fundamentals/ai-optimization-guide
https://rankprompt.com/</x:v>
      </x:c>
      <x:c r="W17" s="117" t="str">
        <x:v>Bir SaaS için 50 promptu problem, kategori, alternatif, karşılaştırma ve satın alma niyetine göre sınıflandırın; 90 günlük planın başında ve sonunda görünürlük farkını yayınlayın.</x:v>
      </x:c>
      <x:c r="X17" s="117" t="str">
        <x:v>saas-geo-stratejisi-kapak.webp | B2B SaaS için 90 günlük GEO stratejisi kapak görseli
saas-prompt-haritasi.webp | SaaS satın alma yolculuğuna göre prompt haritası
90-gun-saas-geo.webp | 90 günlük SaaS GEO uygulama takvimi
saas-geo-kpi.webp | SaaS GEO KPI dashboard örneği</x:v>
      </x:c>
      <x:c r="Y17" s="117" t="str">
        <x:v>SaaS Bridge yazısı topluluk odağında; SaaS GEO stratejisi için tam eşleşen içerik bulunmadı.</x:v>
      </x:c>
      <x:c r="Z17" s="117" t="str">
        <x:f>IF(J17="","",IF(AND(P17&lt;=60,R17&gt;=140,R17&lt;=160),"OK","Check"))</x:f>
        <x:v>OK</x:v>
      </x:c>
      <x:c r="AA17" s="117" t="str">
        <x:v>Genel GEO rehberleri SaaS satın alma yolculuğunu, alternatif/comparison sorgularını, integration ve use-case sayfalarını yeterince işlemiyor.</x:v>
      </x:c>
    </x:row>
    <x:row r="18" ht="72" customHeight="1">
      <x:c r="A18" s="117" t="n">
        <x:v>17</x:v>
      </x:c>
      <x:c r="B18" s="117" t="str">
        <x:v>Brief hazır</x:v>
      </x:c>
      <x:c r="C18" s="117" t="n">
        <x:v>17</x:v>
      </x:c>
      <x:c r="D18" s="117" t="str">
        <x:v>Sektörel kullanım</x:v>
      </x:c>
      <x:c r="E18" s="117" t="str">
        <x:v>Değerlendirme</x:v>
      </x:c>
      <x:c r="F18" s="117" t="str">
        <x:v>E-ticaret yöneticileri, SEO ve ürün feed ekipleri</x:v>
      </x:c>
      <x:c r="G18" s="117" t="str">
        <x:v>How-to</x:v>
      </x:c>
      <x:c r="H18" s="117" t="str">
        <x:v>Contact Studios How-To — ürün tie-in</x:v>
      </x:c>
      <x:c r="I18" s="117" t="str">
        <x:v>/e-ticaret-ai-gorunurluk/</x:v>
      </x:c>
      <x:c r="J18" s="117" t="str">
        <x:v>E-Ticaret Siteleri İçin AI Görünürlük Rehberi: Ürünlerden Citation’a</x:v>
      </x:c>
      <x:c r="K18" s="117" t="str">
        <x:v>e-ticaret-ai-gorunurluk</x:v>
      </x:c>
      <x:c r="L18" s="117" t="str">
        <x:v>e-ticaret AI görünürlük</x:v>
      </x:c>
      <x:c r="M18" s="117" t="str">
        <x:v>Bilgilendirici / ticari araştırma</x:v>
      </x:c>
      <x:c r="N18" s="117" t="str">
        <x:v>ChatGPT ürün görünürlüğü, ecommerce GEO, AI shopping visibility, Product schema AI, Merchant Center AI, AI ürün önerileri, e-ticaret citation, AI search ecommerce, ürün feed optimizasyonu, AI marka görünürlüğü e-ticaret, generative shopping SEO, AI product discovery</x:v>
      </x:c>
      <x:c r="O18" s="117" t="str">
        <x:v>E-Ticaret İçin AI Görünürlük Rehberi</x:v>
      </x:c>
      <x:c r="P18" s="119" t="n">
        <x:f>IF(O18="","",LEN(O18))</x:f>
        <x:v>36</x:v>
      </x:c>
      <x:c r="Q18" s="117" t="str">
        <x:v>E-ticaret AI görünürlük stratejisi nasıl kurulur ve ChatGPT’de ürün görünürlüğü nasıl ölçülür? Ürün verisi, schema, içerik ve citation adımlarını uygulayın.</x:v>
      </x:c>
      <x:c r="R18" s="119" t="n">
        <x:f>IF(Q18="","",LEN(Q18))</x:f>
        <x:v>156</x:v>
      </x:c>
      <x:c r="S18" s="117" t="str">
        <x:v>TEMPLATE: Contact Studios How-To — ürün tie-in
    HEDEF UZUNLUK: 1.500–2.000 kelime; 2.500 kelimeyi geçme.
    OKUYUCU: E-ticaret yöneticileri, SEO ve ürün feed ekipleri
    FUNNEL AŞAMASI: Değerlendirme
    ARAMA NİYETİ: Bilgilendirici / ticari araştırma
    TON: Profesyonel, anlaşılır, kanıta dayalı ve tarafsız. Reklam dili, abartı, “garantili görünürlük” ve doğrulanmamış üstünlük iddiaları kullanma.
    ANAHTAR KELİMELER
    - Birincil: e-ticaret AI görünürlük
    - İlgili/uzun kuyruklu: ChatGPT ürün görünürlüğü, ecommerce GEO, AI shopping visibility, Product schema AI, Merchant Center AI, AI ürün önerileri, e-ticaret citation, AI search ecommerce, ürün feed optimizasyonu, AI marka görünürlüğü e-ticaret, generative shopping SEO, AI product discovery
    - Birincil anahtar kelimeyi ilk 100 kelime içinde doğal biçimde kullan.
    - Anahtar kelimeyi en az 3 başlıkta doğal ve dilbilgisel olarak kullan; keyword stuffing yapma.
    AÇILIŞ
    - H1: E-Ticaret Siteleri İçin AI Görünürlük Rehberi: Ürünlerden Citation’a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AI görünürlük yazıları ürün feed, Merchant Center, Product/Offer schema, stok/fiyat güncelliği ve kategori/rehber içeriklerinin birlikte çalışmasını işlemiyor.
    ZORUNLU ÖZGÜN KANIT / PROPRIETARY INFORMATION
    10 kategori ve 30 ürün keşif promptunda marka/ürün görünürlüğünü test edin; ürün verisi eksikliği, citation ve içerik türü ile sonuçları eşleştiren özgün tablo yayınlayın.
    Bu çalışma yapılmadan yazıyı yayıma hazır sayma. Test tarihi, prompt sayısı, platformlar, dil/ülke ve yöntem açıkça belirtilsin. Veri üretilemezse sonuç uydurma; “test henüz yapılmadı” notu bırak.
    İÇERİK PLANI
    H2 — E-Ticarette AI Görünürlük Ne Anlama Gelir?
Marka, kategori, ürün ve alışveriş tavsiyesi düzeylerini ayırın.
H2 — E-Ticaret İçin AI Görünürlük Katmanları
H3: Ürün verisi; H3: kategori ve rehber içerikleri; H3: review/third-party kanıt; H3: teknik erişilebilirlik; H3: ölçüm.
H2 — 1. Merchant Center ve Ürün Verisini Düzenleyin
Fiyat, stok, görsel, GTIN, kargo ve iade bilgilerinin güncelliği.
H2 — 2. Product ve Offer Structured Data Kullanın
Resmi Google yönergeleri ve içerikle tutarlılık.
H2 — 3. Kategori Sayfalarını Soru ve Karar Odaklı Geliştirin
Seçim kriteri, kullanım senaryosu ve karşılaştırma.
H2 — 4. Özgün Ürün Kanıtları Ekleyin
Test, ölçüm, fotoğraf, video, kullanım sonucu ve uzman görüşü.
H2 — 5. Review ve Marka Bilgilerini Tutarlı Tutun
Sahte review veya yanıltıcı aggregate rating’den kaçının.
H2 — 6. AI Crawler ve İndeks Erişimini Denetleyin
robots, noindex, JS render, canonical ve faceted navigation.
H2 — 7. Ürün ve Kategori Promptlarını Ölçün
Kategori, problem, karşılaştırma, bütçe ve yerel niyet.
H2 — 8. Citation ve Referral Trafiğini İzleyin
Kaynak URL, platform, landing page ve conversion.
H2 — E-Ticaret AI Görünürlük KPI’ları
Product mention rate, category coverage, citation, assisted conversion, feed health.
H2 — Sonuç
Ürün verisi + özgün içerik + güven + ölçüm kombinasyonunu özetleyin.
    SONUÇ
    - 100–150 kelime.
    - Yalnızca ana bulguları özetle; yeni bilgi veya yeni iddia ekleme.
    - CTA’yı tek paragrafta, doğal ve baskısız biçimde kullan.
    SSS
    3–7 soru kullan; aşağıdaki sorular long-tail hedefleridir ve mevcut H2’leri tekrar etmemelidir:
    - ChatGPT ürünleri neye göre önerir?
- Product schema AI görünürlüğünü artırır mı?
- Merchant Center AI Overviews için önemli mi?
- E-ticaret sitesi kaç ürün promptu izlemeli?
- AI trafiği e-ticaret dönüşümüne nasıl bağlanır?
    Her cevap 1–3 cümle olsun; soruyu cevabın içinde doğal biçimde tekrar et.
    İÇ LİNKLER
    - /ai-arama-schema-markup/ — “Product schema ve structured data”
- /chatgpt-trafigi-ga4/ — “AI referral trafiği ölçümü”
    Gelecek URL henüz yayımlanmadıysa linki kırık bırakma; içerik yayımlandıktan sonra eklenmek üzere editör notu koy.
    GÖRSEL ÖNERİLERİ
    - e-ticaret-ai-gorunurluk-kapak.webp | Alt: E-ticaret ürünlerinin AI yanıtlarında görünürlüğünü anlatan kapak
- urun-verisi-ai-gorunurluk.webp | Alt: Ürün feed schema içerik ve citation katmanları
- e-ticaret-prompt-matrisi.webp | Alt: Kategori ve ürün keşif prompt matrisi
- ai-shopping-kpi.webp | Alt: E-ticaret AI görünürlük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https://developers.google.com/search/docs/appearance/structured-data/product
- https://developers.google.com/search/docs/appearance/structured-data/merchant-listing
- https://developers.google.com/search/docs/specialty/ecommerce/share-your-product-data-with-google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8"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8" s="117" t="str">
        <x:v>/ai-arama-schema-markup/ — “Product schema ve structured data”
/chatgpt-trafigi-ga4/ — “AI referral trafiği ölçümü”</x:v>
      </x:c>
      <x:c r="V18" s="117" t="str">
        <x:v>https://developers.google.com/search/docs/fundamentals/ai-optimization-guide
https://developers.google.com/search/docs/appearance/structured-data/product
https://developers.google.com/search/docs/appearance/structured-data/merchant-listing
https://developers.google.com/search/docs/specialty/ecommerce/share-your-product-data-with-google</x:v>
      </x:c>
      <x:c r="W18" s="117" t="str">
        <x:v>10 kategori ve 30 ürün keşif promptunda marka/ürün görünürlüğünü test edin; ürün verisi eksikliği, citation ve içerik türü ile sonuçları eşleştiren özgün tablo yayınlayın.</x:v>
      </x:c>
      <x:c r="X18" s="117" t="str">
        <x:v>e-ticaret-ai-gorunurluk-kapak.webp | E-ticaret ürünlerinin AI yanıtlarında görünürlüğünü anlatan kapak
urun-verisi-ai-gorunurluk.webp | Ürün feed schema içerik ve citation katmanları
e-ticaret-prompt-matrisi.webp | Kategori ve ürün keşif prompt matrisi
ai-shopping-kpi.webp | E-ticaret AI görünürlük KPI dashboard örneği</x:v>
      </x:c>
      <x:c r="Y18" s="117" t="str">
        <x:v>Tam eşleşen e-ticaret AI görünürlük rehberi bulunmadı.</x:v>
      </x:c>
      <x:c r="Z18" s="117" t="str">
        <x:f>IF(J18="","",IF(AND(P18&lt;=60,R18&gt;=140,R18&lt;=160),"OK","Check"))</x:f>
        <x:v>OK</x:v>
      </x:c>
      <x:c r="AA18" s="117" t="str">
        <x:v>Genel AI görünürlük yazıları ürün feed, Merchant Center, Product/Offer schema, stok/fiyat güncelliği ve kategori/rehber içeriklerinin birlikte çalışmasını işlemiyor.</x:v>
      </x:c>
    </x:row>
    <x:row r="19" ht="72" customHeight="1">
      <x:c r="A19" s="117" t="n">
        <x:v>18</x:v>
      </x:c>
      <x:c r="B19" s="117" t="str">
        <x:v>Brief hazır</x:v>
      </x:c>
      <x:c r="C19" s="117" t="n">
        <x:v>18</x:v>
      </x:c>
      <x:c r="D19" s="117" t="str">
        <x:v>Sektörel kullanım</x:v>
      </x:c>
      <x:c r="E19" s="117" t="str">
        <x:v>Değerlendirme</x:v>
      </x:c>
      <x:c r="F19" s="117" t="str">
        <x:v>Yerel işletme sahipleri, çok lokasyonlu markalar, yerel SEO ajansları</x:v>
      </x:c>
      <x:c r="G19" s="117" t="str">
        <x:v>How-to</x:v>
      </x:c>
      <x:c r="H19" s="117" t="str">
        <x:v>Contact Studios How-To — ürün tie-in</x:v>
      </x:c>
      <x:c r="I19" s="117" t="str">
        <x:v>/yerel-isletme-chatgpt-gorunurlugu/</x:v>
      </x:c>
      <x:c r="J19" s="117" t="str">
        <x:v>Yerel İşletmeler İçin ChatGPT Görünürlüğü: 12 Adımlı Rehber</x:v>
      </x:c>
      <x:c r="K19" s="117" t="str">
        <x:v>yerel-isletme-chatgpt-gorunurlugu</x:v>
      </x:c>
      <x:c r="L19" s="117" t="str">
        <x:v>yerel işletme ChatGPT görünürlüğü</x:v>
      </x:c>
      <x:c r="M19" s="117" t="str">
        <x:v>Bilgilendirici / ticari araştırma</x:v>
      </x:c>
      <x:c r="N19" s="117" t="str">
        <x:v>yerel AI görünürlük, ChatGPT yerel işletme önerileri, AI local SEO, GEO local business, Google Business Profile AI, LocalBusiness schema, konum bazlı AI arama, ChatGPT restoran önerisi, AI yerel citation, yerel marka mention, AI local prompts, çok lokasyonlu GEO</x:v>
      </x:c>
      <x:c r="O19" s="117" t="str">
        <x:v>Yerel İşletmeler İçin ChatGPT Görünürlüğü</x:v>
      </x:c>
      <x:c r="P19" s="119" t="n">
        <x:f>IF(O19="","",LEN(O19))</x:f>
        <x:v>41</x:v>
      </x:c>
      <x:c r="Q19" s="117" t="str">
        <x:v>Yerel işletme ChatGPT görünürlüğü nasıl artırılır ve AI yerel arama sonuçları nasıl ölçülür? 12 adımı uygulayın, konum bazlı promptları düzenli test edin.</x:v>
      </x:c>
      <x:c r="R19" s="119" t="n">
        <x:f>IF(Q19="","",LEN(Q19))</x:f>
        <x:v>154</x:v>
      </x:c>
      <x:c r="S19" s="117" t="str">
        <x:v>TEMPLATE: Contact Studios How-To — ürün tie-in
    HEDEF UZUNLUK: 1.500–2.000 kelime; 2.500 kelimeyi geçme.
    OKUYUCU: Yerel işletme sahipleri, çok lokasyonlu markalar, yerel SEO ajansları
    FUNNEL AŞAMASI: Değerlendirme
    ARAMA NİYETİ: Bilgilendirici / ticari araştırma
    TON: Profesyonel, anlaşılır, kanıta dayalı ve tarafsız. Reklam dili, abartı, “garantili görünürlük” ve doğrulanmamış üstünlük iddiaları kullanma.
    ANAHTAR KELİMELER
    - Birincil: yerel işletme ChatGPT görünürlüğü
    - İlgili/uzun kuyruklu: yerel AI görünürlük, ChatGPT yerel işletme önerileri, AI local SEO, GEO local business, Google Business Profile AI, LocalBusiness schema, konum bazlı AI arama, ChatGPT restoran önerisi, AI yerel citation, yerel marka mention, AI local prompts, çok lokasyonlu GEO
    - Birincil anahtar kelimeyi ilk 100 kelime içinde doğal biçimde kullan.
    - Anahtar kelimeyi en az 3 başlıkta doğal ve dilbilgisel olarak kullan; keyword stuffing yapma.
    AÇILIŞ
    - H1: Yerel İşletmeler İçin ChatGPT Görünürlüğü: 12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Yerel SEO rehberleri Google Maps’e odaklanıyor; AI rehberleri ise lokasyon hassasiyeti, Business Profile, yerel citation ve semt bazlı promptları yeterince işlemiyor.
    ZORUNLU ÖZGÜN KANIT / PROPRIETARY INFORMATION
    Bir şehir ve kategori için 25 konum bazlı promptu farklı semt/niyet kombinasyonlarında test edin; Google Business Profile tutarlılığı ve üçüncü taraf kaynaklarla görünürlük ilişkisini tabloya ekleyin.
    Bu çalışma yapılmadan yazıyı yayıma hazır sayma. Test tarihi, prompt sayısı, platformlar, dil/ülke ve yöntem açıkça belirtilsin. Veri üretilemezse sonuç uydurma; “test henüz yapılmadı” notu bırak.
    İÇERİK PLANI
    H2 — Yerel İşletmelerde ChatGPT Görünürlüğü Nedir?
Belirli bir şehir, semt veya 'yakınımdaki' bağlamında markanın önerilme ve doğru bilgiyle sunulma olasılığı olarak tanımlayın.
H2 — Yerel AI Görünürlüğünü Etkileyen Temel Varlıklar
Google Business Profile, site, LocalBusiness schema, yerel dizinler, medya, review ve tutarlı NAP.
H2 — 1. Kategori ve Hizmet Tanımını Netleştirin
Ana kategori, alt hizmet ve hedef bölge.
H2 — 2. Google Business Profile Bilgilerini Güncelleyin
Adres, telefon, saat, kategori, fotoğraf ve hizmetler.
H2 — 3. Site Üzerinde Konum Sayfaları Oluşturun
Kopya şehir sayfalarından kaçının; özgün hizmet, ekip, vaka ve yerel bilgi.
H2 — 4. LocalBusiness Schema Kullanın
İçerikle tutarlı alanlar.
H2 — 5. Yerel Otorite ve Citation Kazanın
Yerel medya, oda, birlik, etkinlik, uzman kaynak.
H2 — 6. Review Stratejisini Etik Yürütün
Gerçek müşteri geri bildirimi, yanıt ve tutarlılık.
H2 — 7. Konum Bazlı Prompt Seti Kurun
Şehir, semt, ihtiyaç, bütçe, açık saat ve karşılaştırma örnekleri.
H2 — 8. Bilgi Doğruluğunu Ölçün
Adres, saat, hizmet ve marka tanımı.
H2 — 9. Rakip ve Kaynak Boşluğunu Analiz Edin
Hangi yerel kaynaklar tekrar ediliyor?
H2 — 10. Çok Lokasyonlu Yapıyı Ayrı İzleyin
Lokasyon bazlı dashboard ve içerik sahipliği.
H2 — 11. Değişiklikleri Yeniden Test Edin
Aynı prompt, tarih ve lokasyon.
H2 — 12. GA4 ve Lead Verisini Eşleyin
Referral, landing page, arama/rezervasyon/lead.
H2 — Sonuç
Yerel görünürlüğün doğruluk + otorite + konum ölçümü olduğunu özetleyin.
    SONUÇ
    - 100–150 kelime.
    - Yalnızca ana bulguları özetle; yeni bilgi veya yeni iddia ekleme.
    - CTA’yı tek paragrafta, doğal ve baskısız biçimde kullan.
    SSS
    3–7 soru kullan; aşağıdaki sorular long-tail hedefleridir ve mevcut H2’leri tekrar etmemelidir:
    - ChatGPT yakınımdaki işletmeleri nasıl önerir?
- Google Business Profile ChatGPT görünürlüğünü etkiler mi?
- LocalBusiness schema yerel AI aramada işe yarar mı?
- Yerel işletme kaç konum promptu izlemeli?
- Yanlış çalışma saatleri AI yanıtında nasıl düzeltilir?
    Her cevap 1–3 cümle olsun; soruyu cevabın içinde doğal biçimde tekrar et.
    İÇ LİNKLER
    - /oai-searchbot-gptbot-robots-txt/ — “AI crawler erişimi”
- /ai-arama-schema-markup/ — “LocalBusiness schema”
    Gelecek URL henüz yayımlanmadıysa linki kırık bırakma; içerik yayımlandıktan sonra eklenmek üzere editör notu koy.
    GÖRSEL ÖNERİLERİ
    - yerel-isletme-chatgpt-kapak.webp | Alt: Şehir haritası üzerinde ChatGPT yerel işletme önerileri kapak görseli
- yerel-ai-varliklari.webp | Alt: Business Profile site schema review ve citation diyagramı
- konum-prompt-matrisi.webp | Alt: Şehir semt ve niyet bazlı yerel AI prompt matrisi
- yerel-ai-dashboard.webp | Alt: Lokasyon bazlı AI görünürlük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https://developers.google.com/search/docs/appearance/structured-data/local-business
- https://developers.google.com/search/docs/appearance/establish-business-details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19" s="117" t="str">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c r="U19" s="117" t="str">
        <x:v>/oai-searchbot-gptbot-robots-txt/ — “AI crawler erişimi”
/ai-arama-schema-markup/ — “LocalBusiness schema”</x:v>
      </x:c>
      <x:c r="V19" s="117" t="str">
        <x:v>https://developers.google.com/search/docs/fundamentals/ai-optimization-guide
https://developers.google.com/search/docs/appearance/structured-data/local-business
https://developers.google.com/search/docs/appearance/establish-business-details</x:v>
      </x:c>
      <x:c r="W19" s="117" t="str">
        <x:v>Bir şehir ve kategori için 25 konum bazlı promptu farklı semt/niyet kombinasyonlarında test edin; Google Business Profile tutarlılığı ve üçüncü taraf kaynaklarla görünürlük ilişkisini tabloya ekleyin.</x:v>
      </x:c>
      <x:c r="X19" s="117" t="str">
        <x:v>yerel-isletme-chatgpt-kapak.webp | Şehir haritası üzerinde ChatGPT yerel işletme önerileri kapak görseli
yerel-ai-varliklari.webp | Business Profile site schema review ve citation diyagramı
konum-prompt-matrisi.webp | Şehir semt ve niyet bazlı yerel AI prompt matrisi
yerel-ai-dashboard.webp | Lokasyon bazlı AI görünürlük dashboard örneği</x:v>
      </x:c>
      <x:c r="Y19" s="117" t="str">
        <x:v>Tam eşleşen yerel işletme ChatGPT görünürlüğü içeriği bulunmadı.</x:v>
      </x:c>
      <x:c r="Z19" s="117" t="str">
        <x:f>IF(J19="","",IF(AND(P19&lt;=60,R19&gt;=140,R19&lt;=160),"OK","Check"))</x:f>
        <x:v>OK</x:v>
      </x:c>
      <x:c r="AA19" s="117" t="str">
        <x:v>Yerel SEO rehberleri Google Maps’e odaklanıyor; AI rehberleri ise lokasyon hassasiyeti, Business Profile, yerel citation ve semt bazlı promptları yeterince işlemiyor.</x:v>
      </x:c>
    </x:row>
    <x:row r="20" ht="72" customHeight="1">
      <x:c r="A20" s="117" t="n">
        <x:v>19</x:v>
      </x:c>
      <x:c r="B20" s="117" t="str">
        <x:v>Brief hazır</x:v>
      </x:c>
      <x:c r="C20" s="117" t="n">
        <x:v>19</x:v>
      </x:c>
      <x:c r="D20" s="117" t="str">
        <x:v>Sektörel kullanım</x:v>
      </x:c>
      <x:c r="E20" s="117" t="str">
        <x:v>Karar</x:v>
      </x:c>
      <x:c r="F20" s="117" t="str">
        <x:v>SEO ve dijital pazarlama ajansı sahipleri, danışmanlar</x:v>
      </x:c>
      <x:c r="G20" s="117" t="str">
        <x:v>How-to</x:v>
      </x:c>
      <x:c r="H20" s="117" t="str">
        <x:v>Contact Studios How-To — ürün tie-in</x:v>
      </x:c>
      <x:c r="I20" s="117" t="str">
        <x:v>/ajans-ai-gorunurluk-hizmeti/</x:v>
      </x:c>
      <x:c r="J20" s="117" t="str">
        <x:v>Ajanslar AI Görünürlük Hizmetini Nasıl Paketler ve Fiyatlandırır?</x:v>
      </x:c>
      <x:c r="K20" s="117" t="str">
        <x:v>ajans-ai-gorunurluk-hizmeti</x:v>
      </x:c>
      <x:c r="L20" s="117" t="str">
        <x:v>ajans AI görünürlük hizmeti</x:v>
      </x:c>
      <x:c r="M20" s="117" t="str">
        <x:v>Ticari araştırma / işlemsel</x:v>
      </x:c>
      <x:c r="N20" s="117" t="str">
        <x:v>GEO ajans hizmeti, AI visibility service, AEO danışmanlığı, AI SEO ajansı, ChatGPT görünürlük hizmeti, GEO fiyatlandırma, AI audit hizmeti, ajans AI raporlama, LLM monitoring service, AI visibility retainer, GEO teklif şablonu, AI görünürlük müşteri raporu</x:v>
      </x:c>
      <x:c r="O20" s="117" t="str">
        <x:v>Ajanslar AI Görünürlük Hizmetini Nasıl Satar?</x:v>
      </x:c>
      <x:c r="P20" s="119" t="n">
        <x:f>IF(O20="","",LEN(O20))</x:f>
        <x:v>45</x:v>
      </x:c>
      <x:c r="Q20" s="117" t="str">
        <x:v>Ajans AI görünürlük hizmeti nasıl paketlenir, GEO danışmanlığı nasıl fiyatlandırılır? Teklif modelini kurun, aylık raporlamayı pilot müşteriyle test edin.</x:v>
      </x:c>
      <x:c r="R20" s="119" t="n">
        <x:f>IF(Q20="","",LEN(Q20))</x:f>
        <x:v>154</x:v>
      </x:c>
      <x:c r="S20" s="117" t="str">
        <x:v>TEMPLATE: Contact Studios How-To — ürün tie-in
    HEDEF UZUNLUK: 1.500–2.000 kelime; 2.500 kelimeyi geçme.
    OKUYUCU: SEO ve dijital pazarlama ajansı sahipleri, danışmanlar
    FUNNEL AŞAMASI: Karar
    ARAMA NİYETİ: Ticari araştırma / işlemsel
    TON: Profesyonel, anlaşılır, kanıta dayalı ve tarafsız. Reklam dili, abartı, “garantili görünürlük” ve doğrulanmamış üstünlük iddiaları kullanma.
    ANAHTAR KELİMELER
    - Birincil: ajans AI görünürlük hizmeti
    - İlgili/uzun kuyruklu: GEO ajans hizmeti, AI visibility service, AEO danışmanlığı, AI SEO ajansı, ChatGPT görünürlük hizmeti, GEO fiyatlandırma, AI audit hizmeti, ajans AI raporlama, LLM monitoring service, AI visibility retainer, GEO teklif şablonu, AI görünürlük müşteri raporu
    - Birincil anahtar kelimeyi ilk 100 kelime içinde doğal biçimde kullan.
    - Anahtar kelimeyi en az 3 başlıkta doğal ve dilbilgisel olarak kullan; keyword stuffing yapma.
    AÇILIŞ
    - H1: Ajanslar AI Görünürlük Hizmetini Nasıl Paketler ve Fiyatlandırır?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hizmet fırsatını anlatıyor ama scope, teslimat, SLA, metodoloji, maliyet ve yanlış vaat riskini detaylandırmıyor.
    ZORUNLU ÖZGÜN KANIT / PROPRIETARY INFORMATION
    Üç paket için gerçek maliyet modeli oluşturun: prompt kredisi, uzman saati, raporlama, içerik ve outreach maliyeti. Kâr marjı formülünü örnek rakamlarla, ancak 'örnek' etiketiyle yayınlayın.
    Bu çalışma yapılmadan yazıyı yayıma hazır sayma. Test tarihi, prompt sayısı, platformlar, dil/ülke ve yöntem açıkça belirtilsin. Veri üretilemezse sonuç uydurma; “test henüz yapılmadı” notu bırak.
    İÇERİK PLANI
    H2 — AI Görünürlük Hizmeti Nedir?
Ajansın müşteri markasını AI yanıtlarında ölçmesi, boşlukları teşhis etmesi ve iyileştirme çalışmalarını raporlaması olarak tanımlayın.
H2 — Müşteriye Satılabilecek 4 Teslimat
Baseline audit, aylık monitoring, content/schema optimization, citation/PR programı.
H2 — 1. İdeal Müşteri Profilini Belirleyin
SaaS, e-ticaret, profesyonel hizmetler, çok lokasyonlu işletmeler; yeterli talep ve içerik varlığı.
H2 — 2. Scope ve Metodolojiyi Yazılı Hale Getirin
Platform, prompt sayısı, dil/ülke, rakip sayısı, tekrar, rapor sıklığı.
H2 — 3. Üç Paket Oluşturun
H3: Audit; H3: Monitor; H3: Optimize. Her pakette dahil/hariç işler, teslim süresi ve KPI.
H2 — 4. Maliyet ve Fiyat Modeli Kurun
Araç/kredi, insan saati, içerik, PR, QA, müşteri yönetimi ve marj.
H2 — 5. İlk Pilot Müşteriyi Seçin
Baseline, 90 günlük hedef, değişiklik günlüğü ve vaka izni.
H2 — 6. Aylık Rapor ve Toplantı Akışı Kurun
Yönetici özeti, prompt gaps, citation, aksiyon, sahip ve son tarih.
H2 — 7. Garanti ve Risk Dilini Doğru Kullanın
AI model sonuçlarını garanti etmeyin; metodoloji ve olasılık dili kullanın.
H2 — 8. Operasyonu Ölçeklendirin
Şablonlar, otomasyon, QA, white-label portal, API ve rol dağılımı.
H2 — Rank Prompt Ajans Operasyonunda Nerede Konumlanır?
Çoklu marka, raporlama, rakip/prompt izleme ve ajans özelliklerini resmi siteden güncel kontrol ederek anlatın; alternatifleri de adil biçimde anın.
H2 — Sonuç
Ölçüm + strateji + uygulama + raporlama bütününü özetleyin.
    SONUÇ
    - 100–150 kelime.
    - Yalnızca ana bulguları özetle; yeni bilgi veya yeni iddia ekleme.
    - CTA’yı tek paragrafta, doğal ve baskısız biçimde kullan.
    SSS
    3–7 soru kullan; aşağıdaki sorular long-tail hedefleridir ve mevcut H2’leri tekrar etmemelidir:
    - GEO danışmanlığı ne kadar ücretlendirilir?
- AI görünürlük hizmetinde hangi KPI’lar raporlanır?
- Ajans müşteriye AI sıralama garantisi verebilir mi?
- AI visibility audit kaç prompt içermeli?
- Ajanslar hangi AI görünürlük aracını seçmeli?
    Her cevap 1–3 cümle olsun; soruyu cevabın içinde doğal biçimde tekrar et.
    İÇ LİNKLER
    - /ai-gorunurluk-raporu/ — “müşteri AI görünürlük raporu”
- /ai-arama-rakip-analizi/ — “prompt bazlı rakip analizi”
- /rank-prompt-nedir/ — “ajanslar için AI görünürlük platformu”
    Gelecek URL henüz yayımlanmadıysa linki kırık bırakma; içerik yayımlandıktan sonra eklenmek üzere editör notu koy.
    GÖRSEL ÖNERİLERİ
    - ajans-ai-gorunurluk-hizmeti-kapak.webp | Alt: Ajansın müşteriye AI görünürlük hizmeti sunduğunu gösteren kapak
- ai-hizmet-paketleri.webp | Alt: Audit monitor ve optimize paket karşılaştırması
- geo-maliyet-modeli.webp | Alt: GEO hizmeti maliyet ve marj hesaplama tablosu
- ajans-ai-rapor-akisi.webp | Alt: Aylık AI görünürlük rapor ve toplantı akışı
    Kapak + en az 3 ek görsel kullan. Ekran görüntülerinde tarih ve veri kaynağı belirt; kişisel/müşteri verilerini maskele.
    KAYNAKLAR
    Öncelikle resmi ve birincil kaynakları kullan:
    - https://rankprompt.com/use-cases/agencies/
- https://rankprompt.com/geo-for-agencies/
- https://rankprompt.com/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20" s="117" t="str">
        <x:v>Müşteri bazlı AI görünürlük raporlamasını manuel yürütüyorsanız Rank Prompt’un ajans iş akışını bu bağlantıdan inceleyebilirsiniz: https://join.rankprompt.com/zzzuy8sjj9ke-xj5vs Önce tek bir pilot müşteri ve sabit prompt setiyle test edin. Şeffaflık notu: Bu bir iş ortaklığı bağlantısıdır; kayıt veya satın alma halinde Ortak Alan komisyon kazanabilir.</x:v>
      </x:c>
      <x:c r="U20" s="117" t="str">
        <x:v>/ai-gorunurluk-raporu/ — “müşteri AI görünürlük raporu”
/ai-arama-rakip-analizi/ — “prompt bazlı rakip analizi”
/rank-prompt-nedir/ — “ajanslar için AI görünürlük platformu”</x:v>
      </x:c>
      <x:c r="V20" s="117" t="str">
        <x:v>https://rankprompt.com/use-cases/agencies/
https://rankprompt.com/geo-for-agencies/
https://rankprompt.com/
https://developers.google.com/search/docs/fundamentals/third-party-seo</x:v>
      </x:c>
      <x:c r="W20" s="117" t="str">
        <x:v>Üç paket için gerçek maliyet modeli oluşturun: prompt kredisi, uzman saati, raporlama, içerik ve outreach maliyeti. Kâr marjı formülünü örnek rakamlarla, ancak 'örnek' etiketiyle yayınlayın.</x:v>
      </x:c>
      <x:c r="X20" s="117" t="str">
        <x:v>ajans-ai-gorunurluk-hizmeti-kapak.webp | Ajansın müşteriye AI görünürlük hizmeti sunduğunu gösteren kapak
ai-hizmet-paketleri.webp | Audit monitor ve optimize paket karşılaştırması
geo-maliyet-modeli.webp | GEO hizmeti maliyet ve marj hesaplama tablosu
ajans-ai-rapor-akisi.webp | Aylık AI görünürlük rapor ve toplantı akışı</x:v>
      </x:c>
      <x:c r="Y20" s="117" t="str">
        <x:v>Tam eşleşen ajans AI görünürlük hizmeti rehberi bulunmadı.</x:v>
      </x:c>
      <x:c r="Z20" s="117" t="str">
        <x:f>IF(J20="","",IF(AND(P20&lt;=60,R20&gt;=140,R20&lt;=160),"OK","Check"))</x:f>
        <x:v>OK</x:v>
      </x:c>
      <x:c r="AA20" s="117" t="str">
        <x:v>Rakip içerikler hizmet fırsatını anlatıyor ama scope, teslimat, SLA, metodoloji, maliyet ve yanlış vaat riskini detaylandırmıyor.</x:v>
      </x:c>
    </x:row>
    <x:row r="21" ht="72" customHeight="1">
      <x:c r="A21" s="117" t="n">
        <x:v>20</x:v>
      </x:c>
      <x:c r="B21" s="117" t="str">
        <x:v>Brief hazır</x:v>
      </x:c>
      <x:c r="C21" s="117" t="n">
        <x:v>20</x:v>
      </x:c>
      <x:c r="D21" s="117" t="str">
        <x:v>Araç seçimi</x:v>
      </x:c>
      <x:c r="E21" s="117" t="str">
        <x:v>Karar</x:v>
      </x:c>
      <x:c r="F21" s="117" t="str">
        <x:v>SEO yöneticileri, ajanslar, SaaS ve e-ticaret pazarlama ekipleri</x:v>
      </x:c>
      <x:c r="G21" s="117" t="str">
        <x:v>Best-of</x:v>
      </x:c>
      <x:c r="H21" s="117" t="str">
        <x:v>Contact Studios Best-Of</x:v>
      </x:c>
      <x:c r="I21" s="117" t="str">
        <x:v>/en-iyi-ai-gorunurluk-araclari/</x:v>
      </x:c>
      <x:c r="J21" s="117" t="str">
        <x:v>En İyi AI Görünürlük Araçları 2026: 8 Platformu Nasıl Seçmeli?</x:v>
      </x:c>
      <x:c r="K21" s="117" t="str">
        <x:v>en-iyi-ai-gorunurluk-araclari</x:v>
      </x:c>
      <x:c r="L21" s="117" t="str">
        <x:v>en iyi AI görünürlük araçları</x:v>
      </x:c>
      <x:c r="M21" s="117" t="str">
        <x:v>Ticari araştırma</x:v>
      </x:c>
      <x:c r="N21" s="117" t="str">
        <x:v>AI visibility tools, ChatGPT visibility tools, GEO tools, AEO tools, LLM tracking tools, AI brand monitoring, AI citation tracking tools, AI search analytics, Rank Prompt alternatifleri, Profound vs Peec AI, Otterly AI inceleme, AI visibility software</x:v>
      </x:c>
      <x:c r="O21" s="117" t="str">
        <x:v>En İyi AI Görünürlük Araçları 2026</x:v>
      </x:c>
      <x:c r="P21" s="119" t="n">
        <x:f>IF(O21="","",LEN(O21))</x:f>
        <x:v>34</x:v>
      </x:c>
      <x:c r="Q21" s="117" t="str">
        <x:v>En iyi AI görünürlük araçları 2026 listesinde ChatGPT takip araçlarını kapsam, citation ve ajans özellikleriyle karşılaştırın; ekibinize uygun aracı seçin.</x:v>
      </x:c>
      <x:c r="R21" s="119" t="n">
        <x:f>IF(Q21="","",LEN(Q21))</x:f>
        <x:v>155</x:v>
      </x:c>
      <x:c r="S21" s="117" t="str">
        <x:v>TEMPLATE: Contact Studios Best-Of
    HEDEF UZUNLUK: 1.500–2.000 kelime; 2.500 kelimeyi geçme.
    OKUYUCU: SEO yöneticileri, ajanslar, SaaS ve e-ticaret pazarlama ekipleri
    FUNNEL AŞAMASI: Karar
    ARAMA NİYETİ: Ticari araştırma
    TON: Profesyonel, anlaşılır, kanıta dayalı ve tarafsız. Reklam dili, abartı, “garantili görünürlük” ve doğrulanmamış üstünlük iddiaları kullanma.
    ANAHTAR KELİMELER
    - Birincil: en iyi AI görünürlük araçları
    - İlgili/uzun kuyruklu: AI visibility tools, ChatGPT visibility tools, GEO tools, AEO tools, LLM tracking tools, AI brand monitoring, AI citation tracking tools, AI search analytics, Rank Prompt alternatifleri, Profound vs Peec AI, Otterly AI inceleme, AI visibility software
    - Birincil anahtar kelimeyi ilk 100 kelime içinde doğal biçimde kullan.
    - Anahtar kelimeyi en az 3 başlıkta doğal ve dilbilgisel olarak kullan; keyword stuffing yapma.
    AÇILIŞ
    - H1: En İyi AI Görünürlük Araçları 2026: 8 Platformu Nasıl Seçmeli?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listeler çoğunlukla fiyat ve platform sayısını tekrar ediyor. Bu yazı metodoloji şeffaflığı, prompt kontrolü, citation derinliği, veri export/API, ajans workflow’u ve toplam maliyeti karşılaştırmalı.
    ZORUNLU ÖZGÜN KANIT / PROPRIETARY INFORMATION
    Aynı 10 promptu mümkün olan araçlarda test edin ve veri tazeliği, platform kapsamı, citation ayrıntısı, export, onboarding süresi ve toplam maliyet üzerinden şeffaf puanlama rubriği yayınlayın. Test edilemeyen özellikleri açıkça 'resmi bilgi' olarak etiketleyin.
    Bu çalışma yapılmadan yazıyı yayıma hazır sayma. Test tarihi, prompt sayısı, platformlar, dil/ülke ve yöntem açıkça belirtilsin. Veri üretilemezse sonuç uydurma; “test henüz yapılmadı” notu bırak.
    İÇERİK PLANI
    H2 — En İyi AI Görünürlük Araçları
İlk H2 altında 8 aracı anchor linkli kısa liste olarak verin: Rank Prompt, Semrush, Ahrefs Brand Radar, Profound, Peec AI, Otterly.ai, SE Ranking ve Writesonic. Yayın gününde resmi kapsamı doğrulayın.
H2 — Araçları Nasıl Değerlendirdik?
Test tarihi, aynı prompt seti, platform kapsamı, citation, rakip analizi, trend, export/API, ajans özellikleri, fiyat ve kullanım kolaylığı kriterleri.
H2 — 1. Rank Prompt — Aksiyon ve Ajans İş Akışı İçin
Kendi ürününüz gibi yazmayın; resmi özellikleri, güçlü yanları, sınırlamaları, güncel fiyatı ve ideal kullanıcıyı tarafsız sunun.
H2 — 2. Semrush — Klasik SEO ile AI Takibini Birleştiren Ekipler İçin
Resmi site ve güncel fiyatla doğrulayın; güçlü ve zayıf yönleri.
H2 — 3. Ahrefs Brand Radar — Ahrefs Ekosistemindeki Ekipler İçin
Aynı yapı.
H2 — 4. Profound — Kurumsal Analiz ve Yönetişim İçin
Aynı yapı.
H2 — 5. Peec AI — Share of Voice ve Pazar Görünümü İçin
Aynı yapı.
H2 — 6. Otterly.ai — Daha Hafif Monitoring İhtiyacı İçin
Aynı yapı.
H2 — 7. SE Ranking — Birleşik SEO Platformu Arayanlar İçin
Aynı yapı.
H2 — 8. Writesonic — İçerik ve AI Görünürlüğünü Birleştirenler İçin
Aynı yapı.
H2 — AI Görünürlük Aracı Seçerken 10 Kriter
Platform, lokasyon/dil, prompt kontrolü, citation, rakip, trend, export/API, entegrasyon, ajans özellikleri, toplam maliyet.
H2 — Karşılaştırma Tablosu
Tüm araçlar için test edildi/resmi bilgi ayrımını işaretleyin; fiyatlara 'kontrol tarihi' ekleyin.
H2 — Hangi Araç Kimin İçin Uygun?
Solo, in-house SEO, içerik ekibi, ajans, enterprise senaryoları.
H2 — Sonuç
Tek bir 'herkes için en iyi' olmadığını; kullanım senaryosuna göre seçim yapılması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AI görünürlük aracı ne işe yarar?
- Ücretsiz ChatGPT görünürlük takip aracı var mı?
- AI visibility tool ile SEO aracı arasındaki fark nedir?
- Ajanslar için en iyi GEO aracı hangisidir?
- AI görünürlük araçlarının sonuçları neden farklıdır?
    Her cevap 1–3 cümle olsun; soruyu cevabın içinde doğal biçimde tekrar et.
    İÇ LİNKLER
    - /rank-prompt-nedir/ — “Rank Prompt incelemesi”
- /llm-gorunurluk-takibi/ — “LLM görünürlük takibi”
- /ajans-ai-gorunurluk-hizmeti/ — “ajans AI görünürlük operasyonu”
    Gelecek URL henüz yayımlanmadıysa linki kırık bırakma; içerik yayımlandıktan sonra eklenmek üzere editör notu koy.
    GÖRSEL ÖNERİLERİ
    - en-iyi-ai-gorunurluk-araclari-kapak.webp | Alt: 2026 AI görünürlük araçları karşılaştırma kapak görseli
- ai-arac-degerlendirme-rubrigi.webp | Alt: AI görünürlük araçları puanlama rubriği
- ai-gorunurluk-araclari-tablosu.webp | Alt: Sekiz AI görünürlük aracını karşılaştıran tablo
- hangi-ai-araci.webp | Alt: Kullanım senaryosuna göre AI görünürlük aracı seçim ağacı
    Kapak + en az 3 ek görsel kullan. Ekran görüntülerinde tarih ve veri kaynağı belirt; kişisel/müşteri verilerini maskele.
    KAYNAKLAR
    Öncelikle resmi ve birincil kaynakları kullan:
    - https://rankprompt.com/
- https://rankprompt.com/pricing/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T21" s="117" t="str">
        <x:v>Karşılaştırma kriterleriniz Rank Prompt’la örtüşüyorsa platformu bu bağlantıdan inceleyebilirsiniz: https://join.rankprompt.com/zzzuy8sjj9ke-xj5vs Araç seçimini kendi prompt setinizle test ederek yapın; hiçbir platform görünürlük veya sıralama garantisi vermez. Şeffaflık notu: Bu bir iş ortaklığı bağlantısıdır; kayıt veya satın alma halinde Ortak Alan komisyon kazanabilir.</x:v>
      </x:c>
      <x:c r="U21" s="117" t="str">
        <x:v>/rank-prompt-nedir/ — “Rank Prompt incelemesi”
/llm-gorunurluk-takibi/ — “LLM görünürlük takibi”
/ajans-ai-gorunurluk-hizmeti/ — “ajans AI görünürlük operasyonu”</x:v>
      </x:c>
      <x:c r="V21" s="117" t="str">
        <x:v>https://rankprompt.com/
https://rankprompt.com/pricing/
https://developers.google.com/search/docs/fundamentals/third-party-seo</x:v>
      </x:c>
      <x:c r="W21" s="117" t="str">
        <x:v>Aynı 10 promptu mümkün olan araçlarda test edin ve veri tazeliği, platform kapsamı, citation ayrıntısı, export, onboarding süresi ve toplam maliyet üzerinden şeffaf puanlama rubriği yayınlayın. Test edilemeyen özellikleri açıkça 'resmi bilgi' olarak etiketleyin.</x:v>
      </x:c>
      <x:c r="X21" s="117" t="str">
        <x:v>en-iyi-ai-gorunurluk-araclari-kapak.webp | 2026 AI görünürlük araçları karşılaştırma kapak görseli
ai-arac-degerlendirme-rubrigi.webp | AI görünürlük araçları puanlama rubriği
ai-gorunurluk-araclari-tablosu.webp | Sekiz AI görünürlük aracını karşılaştıran tablo
hangi-ai-araci.webp | Kullanım senaryosuna göre AI görünürlük aracı seçim ağacı</x:v>
      </x:c>
      <x:c r="Y21" s="117" t="str">
        <x:v>Ortak Alan’da AI görünürlük araçları listesi bulunmadı. SERP’te güncel Türkçe listeler var; özgün test metodolojisi şart.</x:v>
      </x:c>
      <x:c r="Z21" s="117" t="str">
        <x:f>IF(J21="","",IF(AND(P21&lt;=60,R21&gt;=140,R21&lt;=160),"OK","Check"))</x:f>
        <x:v>OK</x:v>
      </x:c>
      <x:c r="AA21" s="117" t="str">
        <x:v>Türkçe listeler çoğunlukla fiyat ve platform sayısını tekrar ediyor. Bu yazı metodoloji şeffaflığı, prompt kontrolü, citation derinliği, veri export/API, ajans workflow’u ve toplam maliyeti karşılaştırmalı.</x:v>
      </x:c>
    </x:row>
    <x:row r="22" ht="72" customHeight="1">
      <x:c r="A22" s="117"/>
      <x:c r="B22" s="117"/>
      <x:c r="C22" s="117"/>
      <x:c r="D22" s="117"/>
      <x:c r="E22" s="117"/>
      <x:c r="F22" s="117"/>
      <x:c r="G22" s="117"/>
      <x:c r="H22" s="117"/>
      <x:c r="I22" s="117"/>
      <x:c r="J22" s="117"/>
      <x:c r="K22" s="117"/>
      <x:c r="L22" s="117"/>
      <x:c r="M22" s="117"/>
      <x:c r="N22" s="117"/>
      <x:c r="O22" s="117"/>
      <x:c r="P22" s="119" t="str">
        <x:f>IF(O22="","",LEN(O22))</x:f>
      </x:c>
      <x:c r="Q22" s="117"/>
      <x:c r="R22" s="119" t="str">
        <x:f>IF(Q22="","",LEN(Q22))</x:f>
      </x:c>
      <x:c r="S22" s="117"/>
      <x:c r="T22" s="117"/>
      <x:c r="U22" s="117"/>
      <x:c r="V22" s="117"/>
      <x:c r="W22" s="117"/>
      <x:c r="X22" s="117"/>
      <x:c r="Y22" s="117"/>
      <x:c r="Z22" s="117" t="str">
        <x:f>IF(J22="","",IF(AND(P22&lt;=60,R22&gt;=140,R22&lt;=160),"OK","Check"))</x:f>
      </x:c>
      <x:c r="AA22" s="117"/>
    </x:row>
    <x:row r="23" ht="72" customHeight="1">
      <x:c r="A23" s="117"/>
      <x:c r="B23" s="117"/>
      <x:c r="C23" s="117"/>
      <x:c r="D23" s="117"/>
      <x:c r="E23" s="117"/>
      <x:c r="F23" s="117"/>
      <x:c r="G23" s="117"/>
      <x:c r="H23" s="117"/>
      <x:c r="I23" s="117"/>
      <x:c r="J23" s="117"/>
      <x:c r="K23" s="117"/>
      <x:c r="L23" s="117"/>
      <x:c r="M23" s="117"/>
      <x:c r="N23" s="117"/>
      <x:c r="O23" s="117"/>
      <x:c r="P23" s="119" t="str">
        <x:f>IF(O23="","",LEN(O23))</x:f>
      </x:c>
      <x:c r="Q23" s="117"/>
      <x:c r="R23" s="119" t="str">
        <x:f>IF(Q23="","",LEN(Q23))</x:f>
      </x:c>
      <x:c r="S23" s="117"/>
      <x:c r="T23" s="117"/>
      <x:c r="U23" s="117"/>
      <x:c r="V23" s="117"/>
      <x:c r="W23" s="117"/>
      <x:c r="X23" s="117"/>
      <x:c r="Y23" s="117"/>
      <x:c r="Z23" s="117" t="str">
        <x:f>IF(J23="","",IF(AND(P23&lt;=60,R23&gt;=140,R23&lt;=160),"OK","Check"))</x:f>
      </x:c>
      <x:c r="AA23" s="117"/>
    </x:row>
    <x:row r="24" ht="72" customHeight="1">
      <x:c r="A24" s="117"/>
      <x:c r="B24" s="117"/>
      <x:c r="C24" s="117"/>
      <x:c r="D24" s="117"/>
      <x:c r="E24" s="117"/>
      <x:c r="F24" s="117"/>
      <x:c r="G24" s="117"/>
      <x:c r="H24" s="117"/>
      <x:c r="I24" s="117"/>
      <x:c r="J24" s="117"/>
      <x:c r="K24" s="117"/>
      <x:c r="L24" s="117"/>
      <x:c r="M24" s="117"/>
      <x:c r="N24" s="117"/>
      <x:c r="O24" s="117"/>
      <x:c r="P24" s="119" t="str">
        <x:f>IF(O24="","",LEN(O24))</x:f>
      </x:c>
      <x:c r="Q24" s="117"/>
      <x:c r="R24" s="119" t="str">
        <x:f>IF(Q24="","",LEN(Q24))</x:f>
      </x:c>
      <x:c r="S24" s="117"/>
      <x:c r="T24" s="117"/>
      <x:c r="U24" s="117"/>
      <x:c r="V24" s="117"/>
      <x:c r="W24" s="117"/>
      <x:c r="X24" s="117"/>
      <x:c r="Y24" s="117"/>
      <x:c r="Z24" s="117" t="str">
        <x:f>IF(J24="","",IF(AND(P24&lt;=60,R24&gt;=140,R24&lt;=160),"OK","Check"))</x:f>
      </x:c>
      <x:c r="AA24" s="117"/>
    </x:row>
    <x:row r="25" ht="72" customHeight="1">
      <x:c r="A25" s="117"/>
      <x:c r="B25" s="117"/>
      <x:c r="C25" s="117"/>
      <x:c r="D25" s="117"/>
      <x:c r="E25" s="117"/>
      <x:c r="F25" s="117"/>
      <x:c r="G25" s="117"/>
      <x:c r="H25" s="117"/>
      <x:c r="I25" s="117"/>
      <x:c r="J25" s="117"/>
      <x:c r="K25" s="117"/>
      <x:c r="L25" s="117"/>
      <x:c r="M25" s="117"/>
      <x:c r="N25" s="117"/>
      <x:c r="O25" s="117"/>
      <x:c r="P25" s="119" t="str">
        <x:f>IF(O25="","",LEN(O25))</x:f>
      </x:c>
      <x:c r="Q25" s="117"/>
      <x:c r="R25" s="119" t="str">
        <x:f>IF(Q25="","",LEN(Q25))</x:f>
      </x:c>
      <x:c r="S25" s="117"/>
      <x:c r="T25" s="117"/>
      <x:c r="U25" s="117"/>
      <x:c r="V25" s="117"/>
      <x:c r="W25" s="117"/>
      <x:c r="X25" s="117"/>
      <x:c r="Y25" s="117"/>
      <x:c r="Z25" s="117" t="str">
        <x:f>IF(J25="","",IF(AND(P25&lt;=60,R25&gt;=140,R25&lt;=160),"OK","Check"))</x:f>
      </x:c>
      <x:c r="AA25" s="117"/>
    </x:row>
    <x:row r="26" ht="72" customHeight="1">
      <x:c r="A26" s="117"/>
      <x:c r="B26" s="117"/>
      <x:c r="C26" s="117"/>
      <x:c r="D26" s="117"/>
      <x:c r="E26" s="117"/>
      <x:c r="F26" s="117"/>
      <x:c r="G26" s="117"/>
      <x:c r="H26" s="117"/>
      <x:c r="I26" s="117"/>
      <x:c r="J26" s="117"/>
      <x:c r="K26" s="117"/>
      <x:c r="L26" s="117"/>
      <x:c r="M26" s="117"/>
      <x:c r="N26" s="117"/>
      <x:c r="O26" s="117"/>
      <x:c r="P26" s="119" t="str">
        <x:f>IF(O26="","",LEN(O26))</x:f>
      </x:c>
      <x:c r="Q26" s="117"/>
      <x:c r="R26" s="119" t="str">
        <x:f>IF(Q26="","",LEN(Q26))</x:f>
      </x:c>
      <x:c r="S26" s="117"/>
      <x:c r="T26" s="117"/>
      <x:c r="U26" s="117"/>
      <x:c r="V26" s="117"/>
      <x:c r="W26" s="117"/>
      <x:c r="X26" s="117"/>
      <x:c r="Y26" s="117"/>
      <x:c r="Z26" s="117" t="str">
        <x:f>IF(J26="","",IF(AND(P26&lt;=60,R26&gt;=140,R26&lt;=160),"OK","Check"))</x:f>
      </x:c>
      <x:c r="AA26" s="117"/>
    </x:row>
    <x:row r="27" ht="72" customHeight="1">
      <x:c r="A27" s="117"/>
      <x:c r="B27" s="117"/>
      <x:c r="C27" s="117"/>
      <x:c r="D27" s="117"/>
      <x:c r="E27" s="117"/>
      <x:c r="F27" s="117"/>
      <x:c r="G27" s="117"/>
      <x:c r="H27" s="117"/>
      <x:c r="I27" s="117"/>
      <x:c r="J27" s="117"/>
      <x:c r="K27" s="117"/>
      <x:c r="L27" s="117"/>
      <x:c r="M27" s="117"/>
      <x:c r="N27" s="117"/>
      <x:c r="O27" s="117"/>
      <x:c r="P27" s="119" t="str">
        <x:f>IF(O27="","",LEN(O27))</x:f>
      </x:c>
      <x:c r="Q27" s="117"/>
      <x:c r="R27" s="119" t="str">
        <x:f>IF(Q27="","",LEN(Q27))</x:f>
      </x:c>
      <x:c r="S27" s="117"/>
      <x:c r="T27" s="117"/>
      <x:c r="U27" s="117"/>
      <x:c r="V27" s="117"/>
      <x:c r="W27" s="117"/>
      <x:c r="X27" s="117"/>
      <x:c r="Y27" s="117"/>
      <x:c r="Z27" s="117" t="str">
        <x:f>IF(J27="","",IF(AND(P27&lt;=60,R27&gt;=140,R27&lt;=160),"OK","Check"))</x:f>
      </x:c>
      <x:c r="AA27" s="117"/>
    </x:row>
    <x:row r="28" ht="72" customHeight="1">
      <x:c r="A28" s="117"/>
      <x:c r="B28" s="117"/>
      <x:c r="C28" s="117"/>
      <x:c r="D28" s="117"/>
      <x:c r="E28" s="117"/>
      <x:c r="F28" s="117"/>
      <x:c r="G28" s="117"/>
      <x:c r="H28" s="117"/>
      <x:c r="I28" s="117"/>
      <x:c r="J28" s="117"/>
      <x:c r="K28" s="117"/>
      <x:c r="L28" s="117"/>
      <x:c r="M28" s="117"/>
      <x:c r="N28" s="117"/>
      <x:c r="O28" s="117"/>
      <x:c r="P28" s="119" t="str">
        <x:f>IF(O28="","",LEN(O28))</x:f>
      </x:c>
      <x:c r="Q28" s="117"/>
      <x:c r="R28" s="119" t="str">
        <x:f>IF(Q28="","",LEN(Q28))</x:f>
      </x:c>
      <x:c r="S28" s="117"/>
      <x:c r="T28" s="117"/>
      <x:c r="U28" s="117"/>
      <x:c r="V28" s="117"/>
      <x:c r="W28" s="117"/>
      <x:c r="X28" s="117"/>
      <x:c r="Y28" s="117"/>
      <x:c r="Z28" s="117" t="str">
        <x:f>IF(J28="","",IF(AND(P28&lt;=60,R28&gt;=140,R28&lt;=160),"OK","Check"))</x:f>
      </x:c>
      <x:c r="AA28" s="117"/>
    </x:row>
    <x:row r="29" ht="72" customHeight="1">
      <x:c r="A29" s="117"/>
      <x:c r="B29" s="117"/>
      <x:c r="C29" s="117"/>
      <x:c r="D29" s="117"/>
      <x:c r="E29" s="117"/>
      <x:c r="F29" s="117"/>
      <x:c r="G29" s="117"/>
      <x:c r="H29" s="117"/>
      <x:c r="I29" s="117"/>
      <x:c r="J29" s="117"/>
      <x:c r="K29" s="117"/>
      <x:c r="L29" s="117"/>
      <x:c r="M29" s="117"/>
      <x:c r="N29" s="117"/>
      <x:c r="O29" s="117"/>
      <x:c r="P29" s="119" t="str">
        <x:f>IF(O29="","",LEN(O29))</x:f>
      </x:c>
      <x:c r="Q29" s="117"/>
      <x:c r="R29" s="119" t="str">
        <x:f>IF(Q29="","",LEN(Q29))</x:f>
      </x:c>
      <x:c r="S29" s="117"/>
      <x:c r="T29" s="117"/>
      <x:c r="U29" s="117"/>
      <x:c r="V29" s="117"/>
      <x:c r="W29" s="117"/>
      <x:c r="X29" s="117"/>
      <x:c r="Y29" s="117"/>
      <x:c r="Z29" s="117" t="str">
        <x:f>IF(J29="","",IF(AND(P29&lt;=60,R29&gt;=140,R29&lt;=160),"OK","Check"))</x:f>
      </x:c>
      <x:c r="AA29" s="117"/>
    </x:row>
    <x:row r="30" ht="72" customHeight="1">
      <x:c r="A30" s="117"/>
      <x:c r="B30" s="117"/>
      <x:c r="C30" s="117"/>
      <x:c r="D30" s="117"/>
      <x:c r="E30" s="117"/>
      <x:c r="F30" s="117"/>
      <x:c r="G30" s="117"/>
      <x:c r="H30" s="117"/>
      <x:c r="I30" s="117"/>
      <x:c r="J30" s="117"/>
      <x:c r="K30" s="117"/>
      <x:c r="L30" s="117"/>
      <x:c r="M30" s="117"/>
      <x:c r="N30" s="117"/>
      <x:c r="O30" s="117"/>
      <x:c r="P30" s="119" t="str">
        <x:f>IF(O30="","",LEN(O30))</x:f>
      </x:c>
      <x:c r="Q30" s="117"/>
      <x:c r="R30" s="119" t="str">
        <x:f>IF(Q30="","",LEN(Q30))</x:f>
      </x:c>
      <x:c r="S30" s="117"/>
      <x:c r="T30" s="117"/>
      <x:c r="U30" s="117"/>
      <x:c r="V30" s="117"/>
      <x:c r="W30" s="117"/>
      <x:c r="X30" s="117"/>
      <x:c r="Y30" s="117"/>
      <x:c r="Z30" s="117" t="str">
        <x:f>IF(J30="","",IF(AND(P30&lt;=60,R30&gt;=140,R30&lt;=160),"OK","Check"))</x:f>
      </x:c>
      <x:c r="AA30" s="117"/>
    </x:row>
    <x:row r="31" ht="72" customHeight="1">
      <x:c r="A31" s="117"/>
      <x:c r="B31" s="117"/>
      <x:c r="C31" s="117"/>
      <x:c r="D31" s="117"/>
      <x:c r="E31" s="117"/>
      <x:c r="F31" s="117"/>
      <x:c r="G31" s="117"/>
      <x:c r="H31" s="117"/>
      <x:c r="I31" s="117"/>
      <x:c r="J31" s="117"/>
      <x:c r="K31" s="117"/>
      <x:c r="L31" s="117"/>
      <x:c r="M31" s="117"/>
      <x:c r="N31" s="117"/>
      <x:c r="O31" s="117"/>
      <x:c r="P31" s="119" t="str">
        <x:f>IF(O31="","",LEN(O31))</x:f>
      </x:c>
      <x:c r="Q31" s="117"/>
      <x:c r="R31" s="119" t="str">
        <x:f>IF(Q31="","",LEN(Q31))</x:f>
      </x:c>
      <x:c r="S31" s="117"/>
      <x:c r="T31" s="117"/>
      <x:c r="U31" s="117"/>
      <x:c r="V31" s="117"/>
      <x:c r="W31" s="117"/>
      <x:c r="X31" s="117"/>
      <x:c r="Y31" s="117"/>
      <x:c r="Z31" s="117" t="str">
        <x:f>IF(J31="","",IF(AND(P31&lt;=60,R31&gt;=140,R31&lt;=160),"OK","Check"))</x:f>
      </x:c>
      <x:c r="AA31" s="117"/>
    </x:row>
    <x:row r="32" ht="72" customHeight="1">
      <x:c r="A32" s="117"/>
      <x:c r="B32" s="117"/>
      <x:c r="C32" s="117"/>
      <x:c r="D32" s="117"/>
      <x:c r="E32" s="117"/>
      <x:c r="F32" s="117"/>
      <x:c r="G32" s="117"/>
      <x:c r="H32" s="117"/>
      <x:c r="I32" s="117"/>
      <x:c r="J32" s="117"/>
      <x:c r="K32" s="117"/>
      <x:c r="L32" s="117"/>
      <x:c r="M32" s="117"/>
      <x:c r="N32" s="117"/>
      <x:c r="O32" s="117"/>
      <x:c r="P32" s="119" t="str">
        <x:f>IF(O32="","",LEN(O32))</x:f>
      </x:c>
      <x:c r="Q32" s="117"/>
      <x:c r="R32" s="119" t="str">
        <x:f>IF(Q32="","",LEN(Q32))</x:f>
      </x:c>
      <x:c r="S32" s="117"/>
      <x:c r="T32" s="117"/>
      <x:c r="U32" s="117"/>
      <x:c r="V32" s="117"/>
      <x:c r="W32" s="117"/>
      <x:c r="X32" s="117"/>
      <x:c r="Y32" s="117"/>
      <x:c r="Z32" s="117" t="str">
        <x:f>IF(J32="","",IF(AND(P32&lt;=60,R32&gt;=140,R32&lt;=160),"OK","Check"))</x:f>
      </x:c>
      <x:c r="AA32" s="117"/>
    </x:row>
    <x:row r="33" ht="72" customHeight="1">
      <x:c r="A33" s="117"/>
      <x:c r="B33" s="117"/>
      <x:c r="C33" s="117"/>
      <x:c r="D33" s="117"/>
      <x:c r="E33" s="117"/>
      <x:c r="F33" s="117"/>
      <x:c r="G33" s="117"/>
      <x:c r="H33" s="117"/>
      <x:c r="I33" s="117"/>
      <x:c r="J33" s="117"/>
      <x:c r="K33" s="117"/>
      <x:c r="L33" s="117"/>
      <x:c r="M33" s="117"/>
      <x:c r="N33" s="117"/>
      <x:c r="O33" s="117"/>
      <x:c r="P33" s="119" t="str">
        <x:f>IF(O33="","",LEN(O33))</x:f>
      </x:c>
      <x:c r="Q33" s="117"/>
      <x:c r="R33" s="119" t="str">
        <x:f>IF(Q33="","",LEN(Q33))</x:f>
      </x:c>
      <x:c r="S33" s="117"/>
      <x:c r="T33" s="117"/>
      <x:c r="U33" s="117"/>
      <x:c r="V33" s="117"/>
      <x:c r="W33" s="117"/>
      <x:c r="X33" s="117"/>
      <x:c r="Y33" s="117"/>
      <x:c r="Z33" s="117" t="str">
        <x:f>IF(J33="","",IF(AND(P33&lt;=60,R33&gt;=140,R33&lt;=160),"OK","Check"))</x:f>
      </x:c>
      <x:c r="AA33" s="117"/>
    </x:row>
    <x:row r="34" ht="72" customHeight="1">
      <x:c r="A34" s="117"/>
      <x:c r="B34" s="117"/>
      <x:c r="C34" s="117"/>
      <x:c r="D34" s="117"/>
      <x:c r="E34" s="117"/>
      <x:c r="F34" s="117"/>
      <x:c r="G34" s="117"/>
      <x:c r="H34" s="117"/>
      <x:c r="I34" s="117"/>
      <x:c r="J34" s="117"/>
      <x:c r="K34" s="117"/>
      <x:c r="L34" s="117"/>
      <x:c r="M34" s="117"/>
      <x:c r="N34" s="117"/>
      <x:c r="O34" s="117"/>
      <x:c r="P34" s="119" t="str">
        <x:f>IF(O34="","",LEN(O34))</x:f>
      </x:c>
      <x:c r="Q34" s="117"/>
      <x:c r="R34" s="119" t="str">
        <x:f>IF(Q34="","",LEN(Q34))</x:f>
      </x:c>
      <x:c r="S34" s="117"/>
      <x:c r="T34" s="117"/>
      <x:c r="U34" s="117"/>
      <x:c r="V34" s="117"/>
      <x:c r="W34" s="117"/>
      <x:c r="X34" s="117"/>
      <x:c r="Y34" s="117"/>
      <x:c r="Z34" s="117" t="str">
        <x:f>IF(J34="","",IF(AND(P34&lt;=60,R34&gt;=140,R34&lt;=160),"OK","Check"))</x:f>
      </x:c>
      <x:c r="AA34" s="117"/>
    </x:row>
    <x:row r="35" ht="72" customHeight="1">
      <x:c r="A35" s="117"/>
      <x:c r="B35" s="117"/>
      <x:c r="C35" s="117"/>
      <x:c r="D35" s="117"/>
      <x:c r="E35" s="117"/>
      <x:c r="F35" s="117"/>
      <x:c r="G35" s="117"/>
      <x:c r="H35" s="117"/>
      <x:c r="I35" s="117"/>
      <x:c r="J35" s="117"/>
      <x:c r="K35" s="117"/>
      <x:c r="L35" s="117"/>
      <x:c r="M35" s="117"/>
      <x:c r="N35" s="117"/>
      <x:c r="O35" s="117"/>
      <x:c r="P35" s="119" t="str">
        <x:f>IF(O35="","",LEN(O35))</x:f>
      </x:c>
      <x:c r="Q35" s="117"/>
      <x:c r="R35" s="119" t="str">
        <x:f>IF(Q35="","",LEN(Q35))</x:f>
      </x:c>
      <x:c r="S35" s="117"/>
      <x:c r="T35" s="117"/>
      <x:c r="U35" s="117"/>
      <x:c r="V35" s="117"/>
      <x:c r="W35" s="117"/>
      <x:c r="X35" s="117"/>
      <x:c r="Y35" s="117"/>
      <x:c r="Z35" s="117" t="str">
        <x:f>IF(J35="","",IF(AND(P35&lt;=60,R35&gt;=140,R35&lt;=160),"OK","Check"))</x:f>
      </x:c>
      <x:c r="AA35" s="117"/>
    </x:row>
    <x:row r="36" ht="72" customHeight="1">
      <x:c r="A36" s="117"/>
      <x:c r="B36" s="117"/>
      <x:c r="C36" s="117"/>
      <x:c r="D36" s="117"/>
      <x:c r="E36" s="117"/>
      <x:c r="F36" s="117"/>
      <x:c r="G36" s="117"/>
      <x:c r="H36" s="117"/>
      <x:c r="I36" s="117"/>
      <x:c r="J36" s="117"/>
      <x:c r="K36" s="117"/>
      <x:c r="L36" s="117"/>
      <x:c r="M36" s="117"/>
      <x:c r="N36" s="117"/>
      <x:c r="O36" s="117"/>
      <x:c r="P36" s="119" t="str">
        <x:f>IF(O36="","",LEN(O36))</x:f>
      </x:c>
      <x:c r="Q36" s="117"/>
      <x:c r="R36" s="119" t="str">
        <x:f>IF(Q36="","",LEN(Q36))</x:f>
      </x:c>
      <x:c r="S36" s="117"/>
      <x:c r="T36" s="117"/>
      <x:c r="U36" s="117"/>
      <x:c r="V36" s="117"/>
      <x:c r="W36" s="117"/>
      <x:c r="X36" s="117"/>
      <x:c r="Y36" s="117"/>
      <x:c r="Z36" s="117" t="str">
        <x:f>IF(J36="","",IF(AND(P36&lt;=60,R36&gt;=140,R36&lt;=160),"OK","Check"))</x:f>
      </x:c>
      <x:c r="AA36" s="117"/>
    </x:row>
    <x:row r="37" ht="72" customHeight="1">
      <x:c r="A37" s="117"/>
      <x:c r="B37" s="117"/>
      <x:c r="C37" s="117"/>
      <x:c r="D37" s="117"/>
      <x:c r="E37" s="117"/>
      <x:c r="F37" s="117"/>
      <x:c r="G37" s="117"/>
      <x:c r="H37" s="117"/>
      <x:c r="I37" s="117"/>
      <x:c r="J37" s="117"/>
      <x:c r="K37" s="117"/>
      <x:c r="L37" s="117"/>
      <x:c r="M37" s="117"/>
      <x:c r="N37" s="117"/>
      <x:c r="O37" s="117"/>
      <x:c r="P37" s="119" t="str">
        <x:f>IF(O37="","",LEN(O37))</x:f>
      </x:c>
      <x:c r="Q37" s="117"/>
      <x:c r="R37" s="119" t="str">
        <x:f>IF(Q37="","",LEN(Q37))</x:f>
      </x:c>
      <x:c r="S37" s="117"/>
      <x:c r="T37" s="117"/>
      <x:c r="U37" s="117"/>
      <x:c r="V37" s="117"/>
      <x:c r="W37" s="117"/>
      <x:c r="X37" s="117"/>
      <x:c r="Y37" s="117"/>
      <x:c r="Z37" s="117" t="str">
        <x:f>IF(J37="","",IF(AND(P37&lt;=60,R37&gt;=140,R37&lt;=160),"OK","Check"))</x:f>
      </x:c>
      <x:c r="AA37" s="117"/>
    </x:row>
    <x:row r="38" ht="72" customHeight="1">
      <x:c r="A38" s="117"/>
      <x:c r="B38" s="117"/>
      <x:c r="C38" s="117"/>
      <x:c r="D38" s="117"/>
      <x:c r="E38" s="117"/>
      <x:c r="F38" s="117"/>
      <x:c r="G38" s="117"/>
      <x:c r="H38" s="117"/>
      <x:c r="I38" s="117"/>
      <x:c r="J38" s="117"/>
      <x:c r="K38" s="117"/>
      <x:c r="L38" s="117"/>
      <x:c r="M38" s="117"/>
      <x:c r="N38" s="117"/>
      <x:c r="O38" s="117"/>
      <x:c r="P38" s="119" t="str">
        <x:f>IF(O38="","",LEN(O38))</x:f>
      </x:c>
      <x:c r="Q38" s="117"/>
      <x:c r="R38" s="119" t="str">
        <x:f>IF(Q38="","",LEN(Q38))</x:f>
      </x:c>
      <x:c r="S38" s="117"/>
      <x:c r="T38" s="117"/>
      <x:c r="U38" s="117"/>
      <x:c r="V38" s="117"/>
      <x:c r="W38" s="117"/>
      <x:c r="X38" s="117"/>
      <x:c r="Y38" s="117"/>
      <x:c r="Z38" s="117" t="str">
        <x:f>IF(J38="","",IF(AND(P38&lt;=60,R38&gt;=140,R38&lt;=160),"OK","Check"))</x:f>
      </x:c>
      <x:c r="AA38" s="117"/>
    </x:row>
    <x:row r="39" ht="72" customHeight="1">
      <x:c r="A39" s="117"/>
      <x:c r="B39" s="117"/>
      <x:c r="C39" s="117"/>
      <x:c r="D39" s="117"/>
      <x:c r="E39" s="117"/>
      <x:c r="F39" s="117"/>
      <x:c r="G39" s="117"/>
      <x:c r="H39" s="117"/>
      <x:c r="I39" s="117"/>
      <x:c r="J39" s="117"/>
      <x:c r="K39" s="117"/>
      <x:c r="L39" s="117"/>
      <x:c r="M39" s="117"/>
      <x:c r="N39" s="117"/>
      <x:c r="O39" s="117"/>
      <x:c r="P39" s="119" t="str">
        <x:f>IF(O39="","",LEN(O39))</x:f>
      </x:c>
      <x:c r="Q39" s="117"/>
      <x:c r="R39" s="119" t="str">
        <x:f>IF(Q39="","",LEN(Q39))</x:f>
      </x:c>
      <x:c r="S39" s="117"/>
      <x:c r="T39" s="117"/>
      <x:c r="U39" s="117"/>
      <x:c r="V39" s="117"/>
      <x:c r="W39" s="117"/>
      <x:c r="X39" s="117"/>
      <x:c r="Y39" s="117"/>
      <x:c r="Z39" s="117" t="str">
        <x:f>IF(J39="","",IF(AND(P39&lt;=60,R39&gt;=140,R39&lt;=160),"OK","Check"))</x:f>
      </x:c>
      <x:c r="AA39" s="117"/>
    </x:row>
    <x:row r="40" ht="72" customHeight="1">
      <x:c r="A40" s="117"/>
      <x:c r="B40" s="117"/>
      <x:c r="C40" s="117"/>
      <x:c r="D40" s="117"/>
      <x:c r="E40" s="117"/>
      <x:c r="F40" s="117"/>
      <x:c r="G40" s="117"/>
      <x:c r="H40" s="117"/>
      <x:c r="I40" s="117"/>
      <x:c r="J40" s="117"/>
      <x:c r="K40" s="117"/>
      <x:c r="L40" s="117"/>
      <x:c r="M40" s="117"/>
      <x:c r="N40" s="117"/>
      <x:c r="O40" s="117"/>
      <x:c r="P40" s="119" t="str">
        <x:f>IF(O40="","",LEN(O40))</x:f>
      </x:c>
      <x:c r="Q40" s="117"/>
      <x:c r="R40" s="119" t="str">
        <x:f>IF(Q40="","",LEN(Q40))</x:f>
      </x:c>
      <x:c r="S40" s="117"/>
      <x:c r="T40" s="117"/>
      <x:c r="U40" s="117"/>
      <x:c r="V40" s="117"/>
      <x:c r="W40" s="117"/>
      <x:c r="X40" s="117"/>
      <x:c r="Y40" s="117"/>
      <x:c r="Z40" s="117" t="str">
        <x:f>IF(J40="","",IF(AND(P40&lt;=60,R40&gt;=140,R40&lt;=160),"OK","Check"))</x:f>
      </x:c>
      <x:c r="AA40" s="117"/>
    </x:row>
    <x:row r="41" ht="72" customHeight="1">
      <x:c r="A41" s="117"/>
      <x:c r="B41" s="117"/>
      <x:c r="C41" s="117"/>
      <x:c r="D41" s="117"/>
      <x:c r="E41" s="117"/>
      <x:c r="F41" s="117"/>
      <x:c r="G41" s="117"/>
      <x:c r="H41" s="117"/>
      <x:c r="I41" s="117"/>
      <x:c r="J41" s="117"/>
      <x:c r="K41" s="117"/>
      <x:c r="L41" s="117"/>
      <x:c r="M41" s="117"/>
      <x:c r="N41" s="117"/>
      <x:c r="O41" s="117"/>
      <x:c r="P41" s="119" t="str">
        <x:f>IF(O41="","",LEN(O41))</x:f>
      </x:c>
      <x:c r="Q41" s="117"/>
      <x:c r="R41" s="119" t="str">
        <x:f>IF(Q41="","",LEN(Q41))</x:f>
      </x:c>
      <x:c r="S41" s="117"/>
      <x:c r="T41" s="117"/>
      <x:c r="U41" s="117"/>
      <x:c r="V41" s="117"/>
      <x:c r="W41" s="117"/>
      <x:c r="X41" s="117"/>
      <x:c r="Y41" s="117"/>
      <x:c r="Z41" s="117" t="str">
        <x:f>IF(J41="","",IF(AND(P41&lt;=60,R41&gt;=140,R41&lt;=160),"OK","Check"))</x:f>
      </x:c>
      <x:c r="AA41" s="117"/>
    </x:row>
    <x:row r="42" ht="72" customHeight="1">
      <x:c r="A42" s="117"/>
      <x:c r="B42" s="117"/>
      <x:c r="C42" s="117"/>
      <x:c r="D42" s="117"/>
      <x:c r="E42" s="117"/>
      <x:c r="F42" s="117"/>
      <x:c r="G42" s="117"/>
      <x:c r="H42" s="117"/>
      <x:c r="I42" s="117"/>
      <x:c r="J42" s="117"/>
      <x:c r="K42" s="117"/>
      <x:c r="L42" s="117"/>
      <x:c r="M42" s="117"/>
      <x:c r="N42" s="117"/>
      <x:c r="O42" s="117"/>
      <x:c r="P42" s="119" t="str">
        <x:f>IF(O42="","",LEN(O42))</x:f>
      </x:c>
      <x:c r="Q42" s="117"/>
      <x:c r="R42" s="119" t="str">
        <x:f>IF(Q42="","",LEN(Q42))</x:f>
      </x:c>
      <x:c r="S42" s="117"/>
      <x:c r="T42" s="117"/>
      <x:c r="U42" s="117"/>
      <x:c r="V42" s="117"/>
      <x:c r="W42" s="117"/>
      <x:c r="X42" s="117"/>
      <x:c r="Y42" s="117"/>
      <x:c r="Z42" s="117" t="str">
        <x:f>IF(J42="","",IF(AND(P42&lt;=60,R42&gt;=140,R42&lt;=160),"OK","Check"))</x:f>
      </x:c>
      <x:c r="AA42" s="117"/>
    </x:row>
    <x:row r="43" ht="72" customHeight="1">
      <x:c r="A43" s="117"/>
      <x:c r="B43" s="117"/>
      <x:c r="C43" s="117"/>
      <x:c r="D43" s="117"/>
      <x:c r="E43" s="117"/>
      <x:c r="F43" s="117"/>
      <x:c r="G43" s="117"/>
      <x:c r="H43" s="117"/>
      <x:c r="I43" s="117"/>
      <x:c r="J43" s="117"/>
      <x:c r="K43" s="117"/>
      <x:c r="L43" s="117"/>
      <x:c r="M43" s="117"/>
      <x:c r="N43" s="117"/>
      <x:c r="O43" s="117"/>
      <x:c r="P43" s="119" t="str">
        <x:f>IF(O43="","",LEN(O43))</x:f>
      </x:c>
      <x:c r="Q43" s="117"/>
      <x:c r="R43" s="119" t="str">
        <x:f>IF(Q43="","",LEN(Q43))</x:f>
      </x:c>
      <x:c r="S43" s="117"/>
      <x:c r="T43" s="117"/>
      <x:c r="U43" s="117"/>
      <x:c r="V43" s="117"/>
      <x:c r="W43" s="117"/>
      <x:c r="X43" s="117"/>
      <x:c r="Y43" s="117"/>
      <x:c r="Z43" s="117" t="str">
        <x:f>IF(J43="","",IF(AND(P43&lt;=60,R43&gt;=140,R43&lt;=160),"OK","Check"))</x:f>
      </x:c>
      <x:c r="AA43" s="117"/>
    </x:row>
    <x:row r="44" ht="72" customHeight="1">
      <x:c r="A44" s="117"/>
      <x:c r="B44" s="117"/>
      <x:c r="C44" s="117"/>
      <x:c r="D44" s="117"/>
      <x:c r="E44" s="117"/>
      <x:c r="F44" s="117"/>
      <x:c r="G44" s="117"/>
      <x:c r="H44" s="117"/>
      <x:c r="I44" s="117"/>
      <x:c r="J44" s="117"/>
      <x:c r="K44" s="117"/>
      <x:c r="L44" s="117"/>
      <x:c r="M44" s="117"/>
      <x:c r="N44" s="117"/>
      <x:c r="O44" s="117"/>
      <x:c r="P44" s="119" t="str">
        <x:f>IF(O44="","",LEN(O44))</x:f>
      </x:c>
      <x:c r="Q44" s="117"/>
      <x:c r="R44" s="119" t="str">
        <x:f>IF(Q44="","",LEN(Q44))</x:f>
      </x:c>
      <x:c r="S44" s="117"/>
      <x:c r="T44" s="117"/>
      <x:c r="U44" s="117"/>
      <x:c r="V44" s="117"/>
      <x:c r="W44" s="117"/>
      <x:c r="X44" s="117"/>
      <x:c r="Y44" s="117"/>
      <x:c r="Z44" s="117" t="str">
        <x:f>IF(J44="","",IF(AND(P44&lt;=60,R44&gt;=140,R44&lt;=160),"OK","Check"))</x:f>
      </x:c>
      <x:c r="AA44" s="117"/>
    </x:row>
    <x:row r="45" ht="72" customHeight="1">
      <x:c r="A45" s="117"/>
      <x:c r="B45" s="117"/>
      <x:c r="C45" s="117"/>
      <x:c r="D45" s="117"/>
      <x:c r="E45" s="117"/>
      <x:c r="F45" s="117"/>
      <x:c r="G45" s="117"/>
      <x:c r="H45" s="117"/>
      <x:c r="I45" s="117"/>
      <x:c r="J45" s="117"/>
      <x:c r="K45" s="117"/>
      <x:c r="L45" s="117"/>
      <x:c r="M45" s="117"/>
      <x:c r="N45" s="117"/>
      <x:c r="O45" s="117"/>
      <x:c r="P45" s="119" t="str">
        <x:f>IF(O45="","",LEN(O45))</x:f>
      </x:c>
      <x:c r="Q45" s="117"/>
      <x:c r="R45" s="119" t="str">
        <x:f>IF(Q45="","",LEN(Q45))</x:f>
      </x:c>
      <x:c r="S45" s="117"/>
      <x:c r="T45" s="117"/>
      <x:c r="U45" s="117"/>
      <x:c r="V45" s="117"/>
      <x:c r="W45" s="117"/>
      <x:c r="X45" s="117"/>
      <x:c r="Y45" s="117"/>
      <x:c r="Z45" s="117" t="str">
        <x:f>IF(J45="","",IF(AND(P45&lt;=60,R45&gt;=140,R45&lt;=160),"OK","Check"))</x:f>
      </x:c>
      <x:c r="AA45" s="117"/>
    </x:row>
    <x:row r="46" ht="72" customHeight="1">
      <x:c r="A46" s="117"/>
      <x:c r="B46" s="117"/>
      <x:c r="C46" s="117"/>
      <x:c r="D46" s="117"/>
      <x:c r="E46" s="117"/>
      <x:c r="F46" s="117"/>
      <x:c r="G46" s="117"/>
      <x:c r="H46" s="117"/>
      <x:c r="I46" s="117"/>
      <x:c r="J46" s="117"/>
      <x:c r="K46" s="117"/>
      <x:c r="L46" s="117"/>
      <x:c r="M46" s="117"/>
      <x:c r="N46" s="117"/>
      <x:c r="O46" s="117"/>
      <x:c r="P46" s="119" t="str">
        <x:f>IF(O46="","",LEN(O46))</x:f>
      </x:c>
      <x:c r="Q46" s="117"/>
      <x:c r="R46" s="119" t="str">
        <x:f>IF(Q46="","",LEN(Q46))</x:f>
      </x:c>
      <x:c r="S46" s="117"/>
      <x:c r="T46" s="117"/>
      <x:c r="U46" s="117"/>
      <x:c r="V46" s="117"/>
      <x:c r="W46" s="117"/>
      <x:c r="X46" s="117"/>
      <x:c r="Y46" s="117"/>
      <x:c r="Z46" s="117" t="str">
        <x:f>IF(J46="","",IF(AND(P46&lt;=60,R46&gt;=140,R46&lt;=160),"OK","Check"))</x:f>
      </x:c>
      <x:c r="AA46" s="117"/>
    </x:row>
    <x:row r="47" ht="72" customHeight="1">
      <x:c r="A47" s="117"/>
      <x:c r="B47" s="117"/>
      <x:c r="C47" s="117"/>
      <x:c r="D47" s="117"/>
      <x:c r="E47" s="117"/>
      <x:c r="F47" s="117"/>
      <x:c r="G47" s="117"/>
      <x:c r="H47" s="117"/>
      <x:c r="I47" s="117"/>
      <x:c r="J47" s="117"/>
      <x:c r="K47" s="117"/>
      <x:c r="L47" s="117"/>
      <x:c r="M47" s="117"/>
      <x:c r="N47" s="117"/>
      <x:c r="O47" s="117"/>
      <x:c r="P47" s="119" t="str">
        <x:f>IF(O47="","",LEN(O47))</x:f>
      </x:c>
      <x:c r="Q47" s="117"/>
      <x:c r="R47" s="119" t="str">
        <x:f>IF(Q47="","",LEN(Q47))</x:f>
      </x:c>
      <x:c r="S47" s="117"/>
      <x:c r="T47" s="117"/>
      <x:c r="U47" s="117"/>
      <x:c r="V47" s="117"/>
      <x:c r="W47" s="117"/>
      <x:c r="X47" s="117"/>
      <x:c r="Y47" s="117"/>
      <x:c r="Z47" s="117" t="str">
        <x:f>IF(J47="","",IF(AND(P47&lt;=60,R47&gt;=140,R47&lt;=160),"OK","Check"))</x:f>
      </x:c>
      <x:c r="AA47" s="117"/>
    </x:row>
    <x:row r="48" ht="72" customHeight="1">
      <x:c r="A48" s="117"/>
      <x:c r="B48" s="117"/>
      <x:c r="C48" s="117"/>
      <x:c r="D48" s="117"/>
      <x:c r="E48" s="117"/>
      <x:c r="F48" s="117"/>
      <x:c r="G48" s="117"/>
      <x:c r="H48" s="117"/>
      <x:c r="I48" s="117"/>
      <x:c r="J48" s="117"/>
      <x:c r="K48" s="117"/>
      <x:c r="L48" s="117"/>
      <x:c r="M48" s="117"/>
      <x:c r="N48" s="117"/>
      <x:c r="O48" s="117"/>
      <x:c r="P48" s="119" t="str">
        <x:f>IF(O48="","",LEN(O48))</x:f>
      </x:c>
      <x:c r="Q48" s="117"/>
      <x:c r="R48" s="119" t="str">
        <x:f>IF(Q48="","",LEN(Q48))</x:f>
      </x:c>
      <x:c r="S48" s="117"/>
      <x:c r="T48" s="117"/>
      <x:c r="U48" s="117"/>
      <x:c r="V48" s="117"/>
      <x:c r="W48" s="117"/>
      <x:c r="X48" s="117"/>
      <x:c r="Y48" s="117"/>
      <x:c r="Z48" s="117" t="str">
        <x:f>IF(J48="","",IF(AND(P48&lt;=60,R48&gt;=140,R48&lt;=160),"OK","Check"))</x:f>
      </x:c>
      <x:c r="AA48" s="117"/>
    </x:row>
    <x:row r="49" ht="72" customHeight="1">
      <x:c r="A49" s="117"/>
      <x:c r="B49" s="117"/>
      <x:c r="C49" s="117"/>
      <x:c r="D49" s="117"/>
      <x:c r="E49" s="117"/>
      <x:c r="F49" s="117"/>
      <x:c r="G49" s="117"/>
      <x:c r="H49" s="117"/>
      <x:c r="I49" s="117"/>
      <x:c r="J49" s="117"/>
      <x:c r="K49" s="117"/>
      <x:c r="L49" s="117"/>
      <x:c r="M49" s="117"/>
      <x:c r="N49" s="117"/>
      <x:c r="O49" s="117"/>
      <x:c r="P49" s="119" t="str">
        <x:f>IF(O49="","",LEN(O49))</x:f>
      </x:c>
      <x:c r="Q49" s="117"/>
      <x:c r="R49" s="119" t="str">
        <x:f>IF(Q49="","",LEN(Q49))</x:f>
      </x:c>
      <x:c r="S49" s="117"/>
      <x:c r="T49" s="117"/>
      <x:c r="U49" s="117"/>
      <x:c r="V49" s="117"/>
      <x:c r="W49" s="117"/>
      <x:c r="X49" s="117"/>
      <x:c r="Y49" s="117"/>
      <x:c r="Z49" s="117" t="str">
        <x:f>IF(J49="","",IF(AND(P49&lt;=60,R49&gt;=140,R49&lt;=160),"OK","Check"))</x:f>
      </x:c>
      <x:c r="AA49" s="117"/>
    </x:row>
    <x:row r="50" ht="72" customHeight="1">
      <x:c r="A50" s="117"/>
      <x:c r="B50" s="117"/>
      <x:c r="C50" s="117"/>
      <x:c r="D50" s="117"/>
      <x:c r="E50" s="117"/>
      <x:c r="F50" s="117"/>
      <x:c r="G50" s="117"/>
      <x:c r="H50" s="117"/>
      <x:c r="I50" s="117"/>
      <x:c r="J50" s="117"/>
      <x:c r="K50" s="117"/>
      <x:c r="L50" s="117"/>
      <x:c r="M50" s="117"/>
      <x:c r="N50" s="117"/>
      <x:c r="O50" s="117"/>
      <x:c r="P50" s="119" t="str">
        <x:f>IF(O50="","",LEN(O50))</x:f>
      </x:c>
      <x:c r="Q50" s="117"/>
      <x:c r="R50" s="119" t="str">
        <x:f>IF(Q50="","",LEN(Q50))</x:f>
      </x:c>
      <x:c r="S50" s="117"/>
      <x:c r="T50" s="117"/>
      <x:c r="U50" s="117"/>
      <x:c r="V50" s="117"/>
      <x:c r="W50" s="117"/>
      <x:c r="X50" s="117"/>
      <x:c r="Y50" s="117"/>
      <x:c r="Z50" s="117" t="str">
        <x:f>IF(J50="","",IF(AND(P50&lt;=60,R50&gt;=140,R50&lt;=160),"OK","Check"))</x:f>
      </x:c>
      <x:c r="AA50" s="117"/>
    </x:row>
    <x:row r="51" ht="72" customHeight="1">
      <x:c r="A51" s="117"/>
      <x:c r="B51" s="117"/>
      <x:c r="C51" s="117"/>
      <x:c r="D51" s="117"/>
      <x:c r="E51" s="117"/>
      <x:c r="F51" s="117"/>
      <x:c r="G51" s="117"/>
      <x:c r="H51" s="117"/>
      <x:c r="I51" s="117"/>
      <x:c r="J51" s="117"/>
      <x:c r="K51" s="117"/>
      <x:c r="L51" s="117"/>
      <x:c r="M51" s="117"/>
      <x:c r="N51" s="117"/>
      <x:c r="O51" s="117"/>
      <x:c r="P51" s="119" t="str">
        <x:f>IF(O51="","",LEN(O51))</x:f>
      </x:c>
      <x:c r="Q51" s="117"/>
      <x:c r="R51" s="119" t="str">
        <x:f>IF(Q51="","",LEN(Q51))</x:f>
      </x:c>
      <x:c r="S51" s="117"/>
      <x:c r="T51" s="117"/>
      <x:c r="U51" s="117"/>
      <x:c r="V51" s="117"/>
      <x:c r="W51" s="117"/>
      <x:c r="X51" s="117"/>
      <x:c r="Y51" s="117"/>
      <x:c r="Z51" s="117" t="str">
        <x:f>IF(J51="","",IF(AND(P51&lt;=60,R51&gt;=140,R51&lt;=160),"OK","Check"))</x:f>
      </x:c>
      <x:c r="AA51" s="117"/>
    </x:row>
    <x:row r="52" ht="72" customHeight="1">
      <x:c r="A52" s="117"/>
      <x:c r="B52" s="117"/>
      <x:c r="C52" s="117"/>
      <x:c r="D52" s="117"/>
      <x:c r="E52" s="117"/>
      <x:c r="F52" s="117"/>
      <x:c r="G52" s="117"/>
      <x:c r="H52" s="117"/>
      <x:c r="I52" s="117"/>
      <x:c r="J52" s="117"/>
      <x:c r="K52" s="117"/>
      <x:c r="L52" s="117"/>
      <x:c r="M52" s="117"/>
      <x:c r="N52" s="117"/>
      <x:c r="O52" s="117"/>
      <x:c r="P52" s="119" t="str">
        <x:f>IF(O52="","",LEN(O52))</x:f>
      </x:c>
      <x:c r="Q52" s="117"/>
      <x:c r="R52" s="119" t="str">
        <x:f>IF(Q52="","",LEN(Q52))</x:f>
      </x:c>
      <x:c r="S52" s="117"/>
      <x:c r="T52" s="117"/>
      <x:c r="U52" s="117"/>
      <x:c r="V52" s="117"/>
      <x:c r="W52" s="117"/>
      <x:c r="X52" s="117"/>
      <x:c r="Y52" s="117"/>
      <x:c r="Z52" s="117" t="str">
        <x:f>IF(J52="","",IF(AND(P52&lt;=60,R52&gt;=140,R52&lt;=160),"OK","Check"))</x:f>
      </x:c>
      <x:c r="AA52" s="117"/>
    </x:row>
    <x:row r="53" ht="72" customHeight="1">
      <x:c r="A53" s="117"/>
      <x:c r="B53" s="117"/>
      <x:c r="C53" s="117"/>
      <x:c r="D53" s="117"/>
      <x:c r="E53" s="117"/>
      <x:c r="F53" s="117"/>
      <x:c r="G53" s="117"/>
      <x:c r="H53" s="117"/>
      <x:c r="I53" s="117"/>
      <x:c r="J53" s="117"/>
      <x:c r="K53" s="117"/>
      <x:c r="L53" s="117"/>
      <x:c r="M53" s="117"/>
      <x:c r="N53" s="117"/>
      <x:c r="O53" s="117"/>
      <x:c r="P53" s="119" t="str">
        <x:f>IF(O53="","",LEN(O53))</x:f>
      </x:c>
      <x:c r="Q53" s="117"/>
      <x:c r="R53" s="119" t="str">
        <x:f>IF(Q53="","",LEN(Q53))</x:f>
      </x:c>
      <x:c r="S53" s="117"/>
      <x:c r="T53" s="117"/>
      <x:c r="U53" s="117"/>
      <x:c r="V53" s="117"/>
      <x:c r="W53" s="117"/>
      <x:c r="X53" s="117"/>
      <x:c r="Y53" s="117"/>
      <x:c r="Z53" s="117" t="str">
        <x:f>IF(J53="","",IF(AND(P53&lt;=60,R53&gt;=140,R53&lt;=160),"OK","Check"))</x:f>
      </x:c>
      <x:c r="AA53" s="117"/>
    </x:row>
    <x:row r="54" ht="72" customHeight="1">
      <x:c r="A54" s="117"/>
      <x:c r="B54" s="117"/>
      <x:c r="C54" s="117"/>
      <x:c r="D54" s="117"/>
      <x:c r="E54" s="117"/>
      <x:c r="F54" s="117"/>
      <x:c r="G54" s="117"/>
      <x:c r="H54" s="117"/>
      <x:c r="I54" s="117"/>
      <x:c r="J54" s="117"/>
      <x:c r="K54" s="117"/>
      <x:c r="L54" s="117"/>
      <x:c r="M54" s="117"/>
      <x:c r="N54" s="117"/>
      <x:c r="O54" s="117"/>
      <x:c r="P54" s="119" t="str">
        <x:f>IF(O54="","",LEN(O54))</x:f>
      </x:c>
      <x:c r="Q54" s="117"/>
      <x:c r="R54" s="119" t="str">
        <x:f>IF(Q54="","",LEN(Q54))</x:f>
      </x:c>
      <x:c r="S54" s="117"/>
      <x:c r="T54" s="117"/>
      <x:c r="U54" s="117"/>
      <x:c r="V54" s="117"/>
      <x:c r="W54" s="117"/>
      <x:c r="X54" s="117"/>
      <x:c r="Y54" s="117"/>
      <x:c r="Z54" s="117" t="str">
        <x:f>IF(J54="","",IF(AND(P54&lt;=60,R54&gt;=140,R54&lt;=160),"OK","Check"))</x:f>
      </x:c>
      <x:c r="AA54" s="117"/>
    </x:row>
    <x:row r="55" ht="72" customHeight="1">
      <x:c r="A55" s="117"/>
      <x:c r="B55" s="117"/>
      <x:c r="C55" s="117"/>
      <x:c r="D55" s="117"/>
      <x:c r="E55" s="117"/>
      <x:c r="F55" s="117"/>
      <x:c r="G55" s="117"/>
      <x:c r="H55" s="117"/>
      <x:c r="I55" s="117"/>
      <x:c r="J55" s="117"/>
      <x:c r="K55" s="117"/>
      <x:c r="L55" s="117"/>
      <x:c r="M55" s="117"/>
      <x:c r="N55" s="117"/>
      <x:c r="O55" s="117"/>
      <x:c r="P55" s="119" t="str">
        <x:f>IF(O55="","",LEN(O55))</x:f>
      </x:c>
      <x:c r="Q55" s="117"/>
      <x:c r="R55" s="119" t="str">
        <x:f>IF(Q55="","",LEN(Q55))</x:f>
      </x:c>
      <x:c r="S55" s="117"/>
      <x:c r="T55" s="117"/>
      <x:c r="U55" s="117"/>
      <x:c r="V55" s="117"/>
      <x:c r="W55" s="117"/>
      <x:c r="X55" s="117"/>
      <x:c r="Y55" s="117"/>
      <x:c r="Z55" s="117" t="str">
        <x:f>IF(J55="","",IF(AND(P55&lt;=60,R55&gt;=140,R55&lt;=160),"OK","Check"))</x:f>
      </x:c>
      <x:c r="AA55" s="117"/>
    </x:row>
    <x:row r="56" ht="72" customHeight="1">
      <x:c r="A56" s="117"/>
      <x:c r="B56" s="117"/>
      <x:c r="C56" s="117"/>
      <x:c r="D56" s="117"/>
      <x:c r="E56" s="117"/>
      <x:c r="F56" s="117"/>
      <x:c r="G56" s="117"/>
      <x:c r="H56" s="117"/>
      <x:c r="I56" s="117"/>
      <x:c r="J56" s="117"/>
      <x:c r="K56" s="117"/>
      <x:c r="L56" s="117"/>
      <x:c r="M56" s="117"/>
      <x:c r="N56" s="117"/>
      <x:c r="O56" s="117"/>
      <x:c r="P56" s="119" t="str">
        <x:f>IF(O56="","",LEN(O56))</x:f>
      </x:c>
      <x:c r="Q56" s="117"/>
      <x:c r="R56" s="119" t="str">
        <x:f>IF(Q56="","",LEN(Q56))</x:f>
      </x:c>
      <x:c r="S56" s="117"/>
      <x:c r="T56" s="117"/>
      <x:c r="U56" s="117"/>
      <x:c r="V56" s="117"/>
      <x:c r="W56" s="117"/>
      <x:c r="X56" s="117"/>
      <x:c r="Y56" s="117"/>
      <x:c r="Z56" s="117" t="str">
        <x:f>IF(J56="","",IF(AND(P56&lt;=60,R56&gt;=140,R56&lt;=160),"OK","Check"))</x:f>
      </x:c>
      <x:c r="AA56" s="117"/>
    </x:row>
    <x:row r="57" ht="72" customHeight="1">
      <x:c r="A57" s="117"/>
      <x:c r="B57" s="117"/>
      <x:c r="C57" s="117"/>
      <x:c r="D57" s="117"/>
      <x:c r="E57" s="117"/>
      <x:c r="F57" s="117"/>
      <x:c r="G57" s="117"/>
      <x:c r="H57" s="117"/>
      <x:c r="I57" s="117"/>
      <x:c r="J57" s="117"/>
      <x:c r="K57" s="117"/>
      <x:c r="L57" s="117"/>
      <x:c r="M57" s="117"/>
      <x:c r="N57" s="117"/>
      <x:c r="O57" s="117"/>
      <x:c r="P57" s="119" t="str">
        <x:f>IF(O57="","",LEN(O57))</x:f>
      </x:c>
      <x:c r="Q57" s="117"/>
      <x:c r="R57" s="119" t="str">
        <x:f>IF(Q57="","",LEN(Q57))</x:f>
      </x:c>
      <x:c r="S57" s="117"/>
      <x:c r="T57" s="117"/>
      <x:c r="U57" s="117"/>
      <x:c r="V57" s="117"/>
      <x:c r="W57" s="117"/>
      <x:c r="X57" s="117"/>
      <x:c r="Y57" s="117"/>
      <x:c r="Z57" s="117" t="str">
        <x:f>IF(J57="","",IF(AND(P57&lt;=60,R57&gt;=140,R57&lt;=160),"OK","Check"))</x:f>
      </x:c>
      <x:c r="AA57" s="117"/>
    </x:row>
    <x:row r="58" ht="72" customHeight="1">
      <x:c r="A58" s="117"/>
      <x:c r="B58" s="117"/>
      <x:c r="C58" s="117"/>
      <x:c r="D58" s="117"/>
      <x:c r="E58" s="117"/>
      <x:c r="F58" s="117"/>
      <x:c r="G58" s="117"/>
      <x:c r="H58" s="117"/>
      <x:c r="I58" s="117"/>
      <x:c r="J58" s="117"/>
      <x:c r="K58" s="117"/>
      <x:c r="L58" s="117"/>
      <x:c r="M58" s="117"/>
      <x:c r="N58" s="117"/>
      <x:c r="O58" s="117"/>
      <x:c r="P58" s="119" t="str">
        <x:f>IF(O58="","",LEN(O58))</x:f>
      </x:c>
      <x:c r="Q58" s="117"/>
      <x:c r="R58" s="119" t="str">
        <x:f>IF(Q58="","",LEN(Q58))</x:f>
      </x:c>
      <x:c r="S58" s="117"/>
      <x:c r="T58" s="117"/>
      <x:c r="U58" s="117"/>
      <x:c r="V58" s="117"/>
      <x:c r="W58" s="117"/>
      <x:c r="X58" s="117"/>
      <x:c r="Y58" s="117"/>
      <x:c r="Z58" s="117" t="str">
        <x:f>IF(J58="","",IF(AND(P58&lt;=60,R58&gt;=140,R58&lt;=160),"OK","Check"))</x:f>
      </x:c>
      <x:c r="AA58" s="117"/>
    </x:row>
    <x:row r="59" ht="72" customHeight="1">
      <x:c r="A59" s="117"/>
      <x:c r="B59" s="117"/>
      <x:c r="C59" s="117"/>
      <x:c r="D59" s="117"/>
      <x:c r="E59" s="117"/>
      <x:c r="F59" s="117"/>
      <x:c r="G59" s="117"/>
      <x:c r="H59" s="117"/>
      <x:c r="I59" s="117"/>
      <x:c r="J59" s="117"/>
      <x:c r="K59" s="117"/>
      <x:c r="L59" s="117"/>
      <x:c r="M59" s="117"/>
      <x:c r="N59" s="117"/>
      <x:c r="O59" s="117"/>
      <x:c r="P59" s="119" t="str">
        <x:f>IF(O59="","",LEN(O59))</x:f>
      </x:c>
      <x:c r="Q59" s="117"/>
      <x:c r="R59" s="119" t="str">
        <x:f>IF(Q59="","",LEN(Q59))</x:f>
      </x:c>
      <x:c r="S59" s="117"/>
      <x:c r="T59" s="117"/>
      <x:c r="U59" s="117"/>
      <x:c r="V59" s="117"/>
      <x:c r="W59" s="117"/>
      <x:c r="X59" s="117"/>
      <x:c r="Y59" s="117"/>
      <x:c r="Z59" s="117" t="str">
        <x:f>IF(J59="","",IF(AND(P59&lt;=60,R59&gt;=140,R59&lt;=160),"OK","Check"))</x:f>
      </x:c>
      <x:c r="AA59" s="117"/>
    </x:row>
    <x:row r="60" ht="72" customHeight="1">
      <x:c r="A60" s="117"/>
      <x:c r="B60" s="117"/>
      <x:c r="C60" s="117"/>
      <x:c r="D60" s="117"/>
      <x:c r="E60" s="117"/>
      <x:c r="F60" s="117"/>
      <x:c r="G60" s="117"/>
      <x:c r="H60" s="117"/>
      <x:c r="I60" s="117"/>
      <x:c r="J60" s="117"/>
      <x:c r="K60" s="117"/>
      <x:c r="L60" s="117"/>
      <x:c r="M60" s="117"/>
      <x:c r="N60" s="117"/>
      <x:c r="O60" s="117"/>
      <x:c r="P60" s="119" t="str">
        <x:f>IF(O60="","",LEN(O60))</x:f>
      </x:c>
      <x:c r="Q60" s="117"/>
      <x:c r="R60" s="119" t="str">
        <x:f>IF(Q60="","",LEN(Q60))</x:f>
      </x:c>
      <x:c r="S60" s="117"/>
      <x:c r="T60" s="117"/>
      <x:c r="U60" s="117"/>
      <x:c r="V60" s="117"/>
      <x:c r="W60" s="117"/>
      <x:c r="X60" s="117"/>
      <x:c r="Y60" s="117"/>
      <x:c r="Z60" s="117" t="str">
        <x:f>IF(J60="","",IF(AND(P60&lt;=60,R60&gt;=140,R60&lt;=160),"OK","Check"))</x:f>
      </x:c>
      <x:c r="AA60" s="117"/>
    </x:row>
    <x:row r="61" ht="72" customHeight="1">
      <x:c r="A61" s="117"/>
      <x:c r="B61" s="117"/>
      <x:c r="C61" s="117"/>
      <x:c r="D61" s="117"/>
      <x:c r="E61" s="117"/>
      <x:c r="F61" s="117"/>
      <x:c r="G61" s="117"/>
      <x:c r="H61" s="117"/>
      <x:c r="I61" s="117"/>
      <x:c r="J61" s="117"/>
      <x:c r="K61" s="117"/>
      <x:c r="L61" s="117"/>
      <x:c r="M61" s="117"/>
      <x:c r="N61" s="117"/>
      <x:c r="O61" s="117"/>
      <x:c r="P61" s="119" t="str">
        <x:f>IF(O61="","",LEN(O61))</x:f>
      </x:c>
      <x:c r="Q61" s="117"/>
      <x:c r="R61" s="119" t="str">
        <x:f>IF(Q61="","",LEN(Q61))</x:f>
      </x:c>
      <x:c r="S61" s="117"/>
      <x:c r="T61" s="117"/>
      <x:c r="U61" s="117"/>
      <x:c r="V61" s="117"/>
      <x:c r="W61" s="117"/>
      <x:c r="X61" s="117"/>
      <x:c r="Y61" s="117"/>
      <x:c r="Z61" s="117" t="str">
        <x:f>IF(J61="","",IF(AND(P61&lt;=60,R61&gt;=140,R61&lt;=160),"OK","Check"))</x:f>
      </x:c>
      <x:c r="AA61" s="117"/>
    </x:row>
    <x:row r="62" ht="72" customHeight="1">
      <x:c r="A62" s="117"/>
      <x:c r="B62" s="117"/>
      <x:c r="C62" s="117"/>
      <x:c r="D62" s="117"/>
      <x:c r="E62" s="117"/>
      <x:c r="F62" s="117"/>
      <x:c r="G62" s="117"/>
      <x:c r="H62" s="117"/>
      <x:c r="I62" s="117"/>
      <x:c r="J62" s="117"/>
      <x:c r="K62" s="117"/>
      <x:c r="L62" s="117"/>
      <x:c r="M62" s="117"/>
      <x:c r="N62" s="117"/>
      <x:c r="O62" s="117"/>
      <x:c r="P62" s="119" t="str">
        <x:f>IF(O62="","",LEN(O62))</x:f>
      </x:c>
      <x:c r="Q62" s="117"/>
      <x:c r="R62" s="119" t="str">
        <x:f>IF(Q62="","",LEN(Q62))</x:f>
      </x:c>
      <x:c r="S62" s="117"/>
      <x:c r="T62" s="117"/>
      <x:c r="U62" s="117"/>
      <x:c r="V62" s="117"/>
      <x:c r="W62" s="117"/>
      <x:c r="X62" s="117"/>
      <x:c r="Y62" s="117"/>
      <x:c r="Z62" s="117" t="str">
        <x:f>IF(J62="","",IF(AND(P62&lt;=60,R62&gt;=140,R62&lt;=160),"OK","Check"))</x:f>
      </x:c>
      <x:c r="AA62" s="117"/>
    </x:row>
    <x:row r="63" ht="72" customHeight="1">
      <x:c r="A63" s="117"/>
      <x:c r="B63" s="117"/>
      <x:c r="C63" s="117"/>
      <x:c r="D63" s="117"/>
      <x:c r="E63" s="117"/>
      <x:c r="F63" s="117"/>
      <x:c r="G63" s="117"/>
      <x:c r="H63" s="117"/>
      <x:c r="I63" s="117"/>
      <x:c r="J63" s="117"/>
      <x:c r="K63" s="117"/>
      <x:c r="L63" s="117"/>
      <x:c r="M63" s="117"/>
      <x:c r="N63" s="117"/>
      <x:c r="O63" s="117"/>
      <x:c r="P63" s="119" t="str">
        <x:f>IF(O63="","",LEN(O63))</x:f>
      </x:c>
      <x:c r="Q63" s="117"/>
      <x:c r="R63" s="119" t="str">
        <x:f>IF(Q63="","",LEN(Q63))</x:f>
      </x:c>
      <x:c r="S63" s="117"/>
      <x:c r="T63" s="117"/>
      <x:c r="U63" s="117"/>
      <x:c r="V63" s="117"/>
      <x:c r="W63" s="117"/>
      <x:c r="X63" s="117"/>
      <x:c r="Y63" s="117"/>
      <x:c r="Z63" s="117" t="str">
        <x:f>IF(J63="","",IF(AND(P63&lt;=60,R63&gt;=140,R63&lt;=160),"OK","Check"))</x:f>
      </x:c>
      <x:c r="AA63" s="117"/>
    </x:row>
    <x:row r="64" ht="72" customHeight="1">
      <x:c r="A64" s="117"/>
      <x:c r="B64" s="117"/>
      <x:c r="C64" s="117"/>
      <x:c r="D64" s="117"/>
      <x:c r="E64" s="117"/>
      <x:c r="F64" s="117"/>
      <x:c r="G64" s="117"/>
      <x:c r="H64" s="117"/>
      <x:c r="I64" s="117"/>
      <x:c r="J64" s="117"/>
      <x:c r="K64" s="117"/>
      <x:c r="L64" s="117"/>
      <x:c r="M64" s="117"/>
      <x:c r="N64" s="117"/>
      <x:c r="O64" s="117"/>
      <x:c r="P64" s="119" t="str">
        <x:f>IF(O64="","",LEN(O64))</x:f>
      </x:c>
      <x:c r="Q64" s="117"/>
      <x:c r="R64" s="119" t="str">
        <x:f>IF(Q64="","",LEN(Q64))</x:f>
      </x:c>
      <x:c r="S64" s="117"/>
      <x:c r="T64" s="117"/>
      <x:c r="U64" s="117"/>
      <x:c r="V64" s="117"/>
      <x:c r="W64" s="117"/>
      <x:c r="X64" s="117"/>
      <x:c r="Y64" s="117"/>
      <x:c r="Z64" s="117" t="str">
        <x:f>IF(J64="","",IF(AND(P64&lt;=60,R64&gt;=140,R64&lt;=160),"OK","Check"))</x:f>
      </x:c>
      <x:c r="AA64" s="117"/>
    </x:row>
    <x:row r="65" ht="72" customHeight="1">
      <x:c r="A65" s="117"/>
      <x:c r="B65" s="117"/>
      <x:c r="C65" s="117"/>
      <x:c r="D65" s="117"/>
      <x:c r="E65" s="117"/>
      <x:c r="F65" s="117"/>
      <x:c r="G65" s="117"/>
      <x:c r="H65" s="117"/>
      <x:c r="I65" s="117"/>
      <x:c r="J65" s="117"/>
      <x:c r="K65" s="117"/>
      <x:c r="L65" s="117"/>
      <x:c r="M65" s="117"/>
      <x:c r="N65" s="117"/>
      <x:c r="O65" s="117"/>
      <x:c r="P65" s="119" t="str">
        <x:f>IF(O65="","",LEN(O65))</x:f>
      </x:c>
      <x:c r="Q65" s="117"/>
      <x:c r="R65" s="119" t="str">
        <x:f>IF(Q65="","",LEN(Q65))</x:f>
      </x:c>
      <x:c r="S65" s="117"/>
      <x:c r="T65" s="117"/>
      <x:c r="U65" s="117"/>
      <x:c r="V65" s="117"/>
      <x:c r="W65" s="117"/>
      <x:c r="X65" s="117"/>
      <x:c r="Y65" s="117"/>
      <x:c r="Z65" s="117" t="str">
        <x:f>IF(J65="","",IF(AND(P65&lt;=60,R65&gt;=140,R65&lt;=160),"OK","Check"))</x:f>
      </x:c>
      <x:c r="AA65" s="117"/>
    </x:row>
    <x:row r="66" ht="72" customHeight="1">
      <x:c r="A66" s="117"/>
      <x:c r="B66" s="117"/>
      <x:c r="C66" s="117"/>
      <x:c r="D66" s="117"/>
      <x:c r="E66" s="117"/>
      <x:c r="F66" s="117"/>
      <x:c r="G66" s="117"/>
      <x:c r="H66" s="117"/>
      <x:c r="I66" s="117"/>
      <x:c r="J66" s="117"/>
      <x:c r="K66" s="117"/>
      <x:c r="L66" s="117"/>
      <x:c r="M66" s="117"/>
      <x:c r="N66" s="117"/>
      <x:c r="O66" s="117"/>
      <x:c r="P66" s="119" t="str">
        <x:f>IF(O66="","",LEN(O66))</x:f>
      </x:c>
      <x:c r="Q66" s="117"/>
      <x:c r="R66" s="119" t="str">
        <x:f>IF(Q66="","",LEN(Q66))</x:f>
      </x:c>
      <x:c r="S66" s="117"/>
      <x:c r="T66" s="117"/>
      <x:c r="U66" s="117"/>
      <x:c r="V66" s="117"/>
      <x:c r="W66" s="117"/>
      <x:c r="X66" s="117"/>
      <x:c r="Y66" s="117"/>
      <x:c r="Z66" s="117" t="str">
        <x:f>IF(J66="","",IF(AND(P66&lt;=60,R66&gt;=140,R66&lt;=160),"OK","Check"))</x:f>
      </x:c>
      <x:c r="AA66" s="117"/>
    </x:row>
    <x:row r="67" ht="72" customHeight="1">
      <x:c r="A67" s="117"/>
      <x:c r="B67" s="117"/>
      <x:c r="C67" s="117"/>
      <x:c r="D67" s="117"/>
      <x:c r="E67" s="117"/>
      <x:c r="F67" s="117"/>
      <x:c r="G67" s="117"/>
      <x:c r="H67" s="117"/>
      <x:c r="I67" s="117"/>
      <x:c r="J67" s="117"/>
      <x:c r="K67" s="117"/>
      <x:c r="L67" s="117"/>
      <x:c r="M67" s="117"/>
      <x:c r="N67" s="117"/>
      <x:c r="O67" s="117"/>
      <x:c r="P67" s="119" t="str">
        <x:f>IF(O67="","",LEN(O67))</x:f>
      </x:c>
      <x:c r="Q67" s="117"/>
      <x:c r="R67" s="119" t="str">
        <x:f>IF(Q67="","",LEN(Q67))</x:f>
      </x:c>
      <x:c r="S67" s="117"/>
      <x:c r="T67" s="117"/>
      <x:c r="U67" s="117"/>
      <x:c r="V67" s="117"/>
      <x:c r="W67" s="117"/>
      <x:c r="X67" s="117"/>
      <x:c r="Y67" s="117"/>
      <x:c r="Z67" s="117" t="str">
        <x:f>IF(J67="","",IF(AND(P67&lt;=60,R67&gt;=140,R67&lt;=160),"OK","Check"))</x:f>
      </x:c>
      <x:c r="AA67" s="117"/>
    </x:row>
    <x:row r="68" ht="72" customHeight="1">
      <x:c r="A68" s="117"/>
      <x:c r="B68" s="117"/>
      <x:c r="C68" s="117"/>
      <x:c r="D68" s="117"/>
      <x:c r="E68" s="117"/>
      <x:c r="F68" s="117"/>
      <x:c r="G68" s="117"/>
      <x:c r="H68" s="117"/>
      <x:c r="I68" s="117"/>
      <x:c r="J68" s="117"/>
      <x:c r="K68" s="117"/>
      <x:c r="L68" s="117"/>
      <x:c r="M68" s="117"/>
      <x:c r="N68" s="117"/>
      <x:c r="O68" s="117"/>
      <x:c r="P68" s="119" t="str">
        <x:f>IF(O68="","",LEN(O68))</x:f>
      </x:c>
      <x:c r="Q68" s="117"/>
      <x:c r="R68" s="119" t="str">
        <x:f>IF(Q68="","",LEN(Q68))</x:f>
      </x:c>
      <x:c r="S68" s="117"/>
      <x:c r="T68" s="117"/>
      <x:c r="U68" s="117"/>
      <x:c r="V68" s="117"/>
      <x:c r="W68" s="117"/>
      <x:c r="X68" s="117"/>
      <x:c r="Y68" s="117"/>
      <x:c r="Z68" s="117" t="str">
        <x:f>IF(J68="","",IF(AND(P68&lt;=60,R68&gt;=140,R68&lt;=160),"OK","Check"))</x:f>
      </x:c>
      <x:c r="AA68" s="117"/>
    </x:row>
    <x:row r="69" ht="72" customHeight="1">
      <x:c r="A69" s="117"/>
      <x:c r="B69" s="117"/>
      <x:c r="C69" s="117"/>
      <x:c r="D69" s="117"/>
      <x:c r="E69" s="117"/>
      <x:c r="F69" s="117"/>
      <x:c r="G69" s="117"/>
      <x:c r="H69" s="117"/>
      <x:c r="I69" s="117"/>
      <x:c r="J69" s="117"/>
      <x:c r="K69" s="117"/>
      <x:c r="L69" s="117"/>
      <x:c r="M69" s="117"/>
      <x:c r="N69" s="117"/>
      <x:c r="O69" s="117"/>
      <x:c r="P69" s="119" t="str">
        <x:f>IF(O69="","",LEN(O69))</x:f>
      </x:c>
      <x:c r="Q69" s="117"/>
      <x:c r="R69" s="119" t="str">
        <x:f>IF(Q69="","",LEN(Q69))</x:f>
      </x:c>
      <x:c r="S69" s="117"/>
      <x:c r="T69" s="117"/>
      <x:c r="U69" s="117"/>
      <x:c r="V69" s="117"/>
      <x:c r="W69" s="117"/>
      <x:c r="X69" s="117"/>
      <x:c r="Y69" s="117"/>
      <x:c r="Z69" s="117" t="str">
        <x:f>IF(J69="","",IF(AND(P69&lt;=60,R69&gt;=140,R69&lt;=160),"OK","Check"))</x:f>
      </x:c>
      <x:c r="AA69" s="117"/>
    </x:row>
    <x:row r="70" ht="72" customHeight="1">
      <x:c r="A70" s="117"/>
      <x:c r="B70" s="117"/>
      <x:c r="C70" s="117"/>
      <x:c r="D70" s="117"/>
      <x:c r="E70" s="117"/>
      <x:c r="F70" s="117"/>
      <x:c r="G70" s="117"/>
      <x:c r="H70" s="117"/>
      <x:c r="I70" s="117"/>
      <x:c r="J70" s="117"/>
      <x:c r="K70" s="117"/>
      <x:c r="L70" s="117"/>
      <x:c r="M70" s="117"/>
      <x:c r="N70" s="117"/>
      <x:c r="O70" s="117"/>
      <x:c r="P70" s="119" t="str">
        <x:f>IF(O70="","",LEN(O70))</x:f>
      </x:c>
      <x:c r="Q70" s="117"/>
      <x:c r="R70" s="119" t="str">
        <x:f>IF(Q70="","",LEN(Q70))</x:f>
      </x:c>
      <x:c r="S70" s="117"/>
      <x:c r="T70" s="117"/>
      <x:c r="U70" s="117"/>
      <x:c r="V70" s="117"/>
      <x:c r="W70" s="117"/>
      <x:c r="X70" s="117"/>
      <x:c r="Y70" s="117"/>
      <x:c r="Z70" s="117" t="str">
        <x:f>IF(J70="","",IF(AND(P70&lt;=60,R70&gt;=140,R70&lt;=160),"OK","Check"))</x:f>
      </x:c>
      <x:c r="AA70" s="117"/>
    </x:row>
    <x:row r="71" ht="72" customHeight="1">
      <x:c r="A71" s="117"/>
      <x:c r="B71" s="117"/>
      <x:c r="C71" s="117"/>
      <x:c r="D71" s="117"/>
      <x:c r="E71" s="117"/>
      <x:c r="F71" s="117"/>
      <x:c r="G71" s="117"/>
      <x:c r="H71" s="117"/>
      <x:c r="I71" s="117"/>
      <x:c r="J71" s="117"/>
      <x:c r="K71" s="117"/>
      <x:c r="L71" s="117"/>
      <x:c r="M71" s="117"/>
      <x:c r="N71" s="117"/>
      <x:c r="O71" s="117"/>
      <x:c r="P71" s="119" t="str">
        <x:f>IF(O71="","",LEN(O71))</x:f>
      </x:c>
      <x:c r="Q71" s="117"/>
      <x:c r="R71" s="119" t="str">
        <x:f>IF(Q71="","",LEN(Q71))</x:f>
      </x:c>
      <x:c r="S71" s="117"/>
      <x:c r="T71" s="117"/>
      <x:c r="U71" s="117"/>
      <x:c r="V71" s="117"/>
      <x:c r="W71" s="117"/>
      <x:c r="X71" s="117"/>
      <x:c r="Y71" s="117"/>
      <x:c r="Z71" s="117" t="str">
        <x:f>IF(J71="","",IF(AND(P71&lt;=60,R71&gt;=140,R71&lt;=160),"OK","Check"))</x:f>
      </x:c>
      <x:c r="AA71" s="117"/>
    </x:row>
    <x:row r="72" ht="72" customHeight="1">
      <x:c r="A72" s="117"/>
      <x:c r="B72" s="117"/>
      <x:c r="C72" s="117"/>
      <x:c r="D72" s="117"/>
      <x:c r="E72" s="117"/>
      <x:c r="F72" s="117"/>
      <x:c r="G72" s="117"/>
      <x:c r="H72" s="117"/>
      <x:c r="I72" s="117"/>
      <x:c r="J72" s="117"/>
      <x:c r="K72" s="117"/>
      <x:c r="L72" s="117"/>
      <x:c r="M72" s="117"/>
      <x:c r="N72" s="117"/>
      <x:c r="O72" s="117"/>
      <x:c r="P72" s="119" t="str">
        <x:f>IF(O72="","",LEN(O72))</x:f>
      </x:c>
      <x:c r="Q72" s="117"/>
      <x:c r="R72" s="119" t="str">
        <x:f>IF(Q72="","",LEN(Q72))</x:f>
      </x:c>
      <x:c r="S72" s="117"/>
      <x:c r="T72" s="117"/>
      <x:c r="U72" s="117"/>
      <x:c r="V72" s="117"/>
      <x:c r="W72" s="117"/>
      <x:c r="X72" s="117"/>
      <x:c r="Y72" s="117"/>
      <x:c r="Z72" s="117" t="str">
        <x:f>IF(J72="","",IF(AND(P72&lt;=60,R72&gt;=140,R72&lt;=160),"OK","Check"))</x:f>
      </x:c>
      <x:c r="AA72" s="117"/>
    </x:row>
    <x:row r="73" ht="72" customHeight="1">
      <x:c r="A73" s="117"/>
      <x:c r="B73" s="117"/>
      <x:c r="C73" s="117"/>
      <x:c r="D73" s="117"/>
      <x:c r="E73" s="117"/>
      <x:c r="F73" s="117"/>
      <x:c r="G73" s="117"/>
      <x:c r="H73" s="117"/>
      <x:c r="I73" s="117"/>
      <x:c r="J73" s="117"/>
      <x:c r="K73" s="117"/>
      <x:c r="L73" s="117"/>
      <x:c r="M73" s="117"/>
      <x:c r="N73" s="117"/>
      <x:c r="O73" s="117"/>
      <x:c r="P73" s="119" t="str">
        <x:f>IF(O73="","",LEN(O73))</x:f>
      </x:c>
      <x:c r="Q73" s="117"/>
      <x:c r="R73" s="119" t="str">
        <x:f>IF(Q73="","",LEN(Q73))</x:f>
      </x:c>
      <x:c r="S73" s="117"/>
      <x:c r="T73" s="117"/>
      <x:c r="U73" s="117"/>
      <x:c r="V73" s="117"/>
      <x:c r="W73" s="117"/>
      <x:c r="X73" s="117"/>
      <x:c r="Y73" s="117"/>
      <x:c r="Z73" s="117" t="str">
        <x:f>IF(J73="","",IF(AND(P73&lt;=60,R73&gt;=140,R73&lt;=160),"OK","Check"))</x:f>
      </x:c>
      <x:c r="AA73" s="117"/>
    </x:row>
    <x:row r="74" ht="72" customHeight="1">
      <x:c r="A74" s="117"/>
      <x:c r="B74" s="117"/>
      <x:c r="C74" s="117"/>
      <x:c r="D74" s="117"/>
      <x:c r="E74" s="117"/>
      <x:c r="F74" s="117"/>
      <x:c r="G74" s="117"/>
      <x:c r="H74" s="117"/>
      <x:c r="I74" s="117"/>
      <x:c r="J74" s="117"/>
      <x:c r="K74" s="117"/>
      <x:c r="L74" s="117"/>
      <x:c r="M74" s="117"/>
      <x:c r="N74" s="117"/>
      <x:c r="O74" s="117"/>
      <x:c r="P74" s="119" t="str">
        <x:f>IF(O74="","",LEN(O74))</x:f>
      </x:c>
      <x:c r="Q74" s="117"/>
      <x:c r="R74" s="119" t="str">
        <x:f>IF(Q74="","",LEN(Q74))</x:f>
      </x:c>
      <x:c r="S74" s="117"/>
      <x:c r="T74" s="117"/>
      <x:c r="U74" s="117"/>
      <x:c r="V74" s="117"/>
      <x:c r="W74" s="117"/>
      <x:c r="X74" s="117"/>
      <x:c r="Y74" s="117"/>
      <x:c r="Z74" s="117" t="str">
        <x:f>IF(J74="","",IF(AND(P74&lt;=60,R74&gt;=140,R74&lt;=160),"OK","Check"))</x:f>
      </x:c>
      <x:c r="AA74" s="117"/>
    </x:row>
    <x:row r="75" ht="72" customHeight="1">
      <x:c r="A75" s="117"/>
      <x:c r="B75" s="117"/>
      <x:c r="C75" s="117"/>
      <x:c r="D75" s="117"/>
      <x:c r="E75" s="117"/>
      <x:c r="F75" s="117"/>
      <x:c r="G75" s="117"/>
      <x:c r="H75" s="117"/>
      <x:c r="I75" s="117"/>
      <x:c r="J75" s="117"/>
      <x:c r="K75" s="117"/>
      <x:c r="L75" s="117"/>
      <x:c r="M75" s="117"/>
      <x:c r="N75" s="117"/>
      <x:c r="O75" s="117"/>
      <x:c r="P75" s="119" t="str">
        <x:f>IF(O75="","",LEN(O75))</x:f>
      </x:c>
      <x:c r="Q75" s="117"/>
      <x:c r="R75" s="119" t="str">
        <x:f>IF(Q75="","",LEN(Q75))</x:f>
      </x:c>
      <x:c r="S75" s="117"/>
      <x:c r="T75" s="117"/>
      <x:c r="U75" s="117"/>
      <x:c r="V75" s="117"/>
      <x:c r="W75" s="117"/>
      <x:c r="X75" s="117"/>
      <x:c r="Y75" s="117"/>
      <x:c r="Z75" s="117" t="str">
        <x:f>IF(J75="","",IF(AND(P75&lt;=60,R75&gt;=140,R75&lt;=160),"OK","Check"))</x:f>
      </x:c>
      <x:c r="AA75" s="117"/>
    </x:row>
    <x:row r="76" ht="72" customHeight="1">
      <x:c r="A76" s="117"/>
      <x:c r="B76" s="117"/>
      <x:c r="C76" s="117"/>
      <x:c r="D76" s="117"/>
      <x:c r="E76" s="117"/>
      <x:c r="F76" s="117"/>
      <x:c r="G76" s="117"/>
      <x:c r="H76" s="117"/>
      <x:c r="I76" s="117"/>
      <x:c r="J76" s="117"/>
      <x:c r="K76" s="117"/>
      <x:c r="L76" s="117"/>
      <x:c r="M76" s="117"/>
      <x:c r="N76" s="117"/>
      <x:c r="O76" s="117"/>
      <x:c r="P76" s="119" t="str">
        <x:f>IF(O76="","",LEN(O76))</x:f>
      </x:c>
      <x:c r="Q76" s="117"/>
      <x:c r="R76" s="119" t="str">
        <x:f>IF(Q76="","",LEN(Q76))</x:f>
      </x:c>
      <x:c r="S76" s="117"/>
      <x:c r="T76" s="117"/>
      <x:c r="U76" s="117"/>
      <x:c r="V76" s="117"/>
      <x:c r="W76" s="117"/>
      <x:c r="X76" s="117"/>
      <x:c r="Y76" s="117"/>
      <x:c r="Z76" s="117" t="str">
        <x:f>IF(J76="","",IF(AND(P76&lt;=60,R76&gt;=140,R76&lt;=160),"OK","Check"))</x:f>
      </x:c>
      <x:c r="AA76" s="117"/>
    </x:row>
    <x:row r="77" ht="72" customHeight="1">
      <x:c r="A77" s="117"/>
      <x:c r="B77" s="117"/>
      <x:c r="C77" s="117"/>
      <x:c r="D77" s="117"/>
      <x:c r="E77" s="117"/>
      <x:c r="F77" s="117"/>
      <x:c r="G77" s="117"/>
      <x:c r="H77" s="117"/>
      <x:c r="I77" s="117"/>
      <x:c r="J77" s="117"/>
      <x:c r="K77" s="117"/>
      <x:c r="L77" s="117"/>
      <x:c r="M77" s="117"/>
      <x:c r="N77" s="117"/>
      <x:c r="O77" s="117"/>
      <x:c r="P77" s="119" t="str">
        <x:f>IF(O77="","",LEN(O77))</x:f>
      </x:c>
      <x:c r="Q77" s="117"/>
      <x:c r="R77" s="119" t="str">
        <x:f>IF(Q77="","",LEN(Q77))</x:f>
      </x:c>
      <x:c r="S77" s="117"/>
      <x:c r="T77" s="117"/>
      <x:c r="U77" s="117"/>
      <x:c r="V77" s="117"/>
      <x:c r="W77" s="117"/>
      <x:c r="X77" s="117"/>
      <x:c r="Y77" s="117"/>
      <x:c r="Z77" s="117" t="str">
        <x:f>IF(J77="","",IF(AND(P77&lt;=60,R77&gt;=140,R77&lt;=160),"OK","Check"))</x:f>
      </x:c>
      <x:c r="AA77" s="117"/>
    </x:row>
    <x:row r="78" ht="72" customHeight="1">
      <x:c r="A78" s="117"/>
      <x:c r="B78" s="117"/>
      <x:c r="C78" s="117"/>
      <x:c r="D78" s="117"/>
      <x:c r="E78" s="117"/>
      <x:c r="F78" s="117"/>
      <x:c r="G78" s="117"/>
      <x:c r="H78" s="117"/>
      <x:c r="I78" s="117"/>
      <x:c r="J78" s="117"/>
      <x:c r="K78" s="117"/>
      <x:c r="L78" s="117"/>
      <x:c r="M78" s="117"/>
      <x:c r="N78" s="117"/>
      <x:c r="O78" s="117"/>
      <x:c r="P78" s="119" t="str">
        <x:f>IF(O78="","",LEN(O78))</x:f>
      </x:c>
      <x:c r="Q78" s="117"/>
      <x:c r="R78" s="119" t="str">
        <x:f>IF(Q78="","",LEN(Q78))</x:f>
      </x:c>
      <x:c r="S78" s="117"/>
      <x:c r="T78" s="117"/>
      <x:c r="U78" s="117"/>
      <x:c r="V78" s="117"/>
      <x:c r="W78" s="117"/>
      <x:c r="X78" s="117"/>
      <x:c r="Y78" s="117"/>
      <x:c r="Z78" s="117" t="str">
        <x:f>IF(J78="","",IF(AND(P78&lt;=60,R78&gt;=140,R78&lt;=160),"OK","Check"))</x:f>
      </x:c>
      <x:c r="AA78" s="117"/>
    </x:row>
    <x:row r="79" ht="72" customHeight="1">
      <x:c r="A79" s="117"/>
      <x:c r="B79" s="117"/>
      <x:c r="C79" s="117"/>
      <x:c r="D79" s="117"/>
      <x:c r="E79" s="117"/>
      <x:c r="F79" s="117"/>
      <x:c r="G79" s="117"/>
      <x:c r="H79" s="117"/>
      <x:c r="I79" s="117"/>
      <x:c r="J79" s="117"/>
      <x:c r="K79" s="117"/>
      <x:c r="L79" s="117"/>
      <x:c r="M79" s="117"/>
      <x:c r="N79" s="117"/>
      <x:c r="O79" s="117"/>
      <x:c r="P79" s="119" t="str">
        <x:f>IF(O79="","",LEN(O79))</x:f>
      </x:c>
      <x:c r="Q79" s="117"/>
      <x:c r="R79" s="119" t="str">
        <x:f>IF(Q79="","",LEN(Q79))</x:f>
      </x:c>
      <x:c r="S79" s="117"/>
      <x:c r="T79" s="117"/>
      <x:c r="U79" s="117"/>
      <x:c r="V79" s="117"/>
      <x:c r="W79" s="117"/>
      <x:c r="X79" s="117"/>
      <x:c r="Y79" s="117"/>
      <x:c r="Z79" s="117" t="str">
        <x:f>IF(J79="","",IF(AND(P79&lt;=60,R79&gt;=140,R79&lt;=160),"OK","Check"))</x:f>
      </x:c>
      <x:c r="AA79" s="117"/>
    </x:row>
    <x:row r="80" ht="72" customHeight="1">
      <x:c r="A80" s="117"/>
      <x:c r="B80" s="117"/>
      <x:c r="C80" s="117"/>
      <x:c r="D80" s="117"/>
      <x:c r="E80" s="117"/>
      <x:c r="F80" s="117"/>
      <x:c r="G80" s="117"/>
      <x:c r="H80" s="117"/>
      <x:c r="I80" s="117"/>
      <x:c r="J80" s="117"/>
      <x:c r="K80" s="117"/>
      <x:c r="L80" s="117"/>
      <x:c r="M80" s="117"/>
      <x:c r="N80" s="117"/>
      <x:c r="O80" s="117"/>
      <x:c r="P80" s="119" t="str">
        <x:f>IF(O80="","",LEN(O80))</x:f>
      </x:c>
      <x:c r="Q80" s="117"/>
      <x:c r="R80" s="119" t="str">
        <x:f>IF(Q80="","",LEN(Q80))</x:f>
      </x:c>
      <x:c r="S80" s="117"/>
      <x:c r="T80" s="117"/>
      <x:c r="U80" s="117"/>
      <x:c r="V80" s="117"/>
      <x:c r="W80" s="117"/>
      <x:c r="X80" s="117"/>
      <x:c r="Y80" s="117"/>
      <x:c r="Z80" s="117" t="str">
        <x:f>IF(J80="","",IF(AND(P80&lt;=60,R80&gt;=140,R80&lt;=160),"OK","Check"))</x:f>
      </x:c>
      <x:c r="AA80" s="117"/>
    </x:row>
    <x:row r="81" ht="72" customHeight="1">
      <x:c r="A81" s="117"/>
      <x:c r="B81" s="117"/>
      <x:c r="C81" s="117"/>
      <x:c r="D81" s="117"/>
      <x:c r="E81" s="117"/>
      <x:c r="F81" s="117"/>
      <x:c r="G81" s="117"/>
      <x:c r="H81" s="117"/>
      <x:c r="I81" s="117"/>
      <x:c r="J81" s="117"/>
      <x:c r="K81" s="117"/>
      <x:c r="L81" s="117"/>
      <x:c r="M81" s="117"/>
      <x:c r="N81" s="117"/>
      <x:c r="O81" s="117"/>
      <x:c r="P81" s="119" t="str">
        <x:f>IF(O81="","",LEN(O81))</x:f>
      </x:c>
      <x:c r="Q81" s="117"/>
      <x:c r="R81" s="119" t="str">
        <x:f>IF(Q81="","",LEN(Q81))</x:f>
      </x:c>
      <x:c r="S81" s="117"/>
      <x:c r="T81" s="117"/>
      <x:c r="U81" s="117"/>
      <x:c r="V81" s="117"/>
      <x:c r="W81" s="117"/>
      <x:c r="X81" s="117"/>
      <x:c r="Y81" s="117"/>
      <x:c r="Z81" s="117" t="str">
        <x:f>IF(J81="","",IF(AND(P81&lt;=60,R81&gt;=140,R81&lt;=160),"OK","Check"))</x:f>
      </x:c>
      <x:c r="AA81" s="117"/>
    </x:row>
    <x:row r="82" ht="72" customHeight="1">
      <x:c r="A82" s="117"/>
      <x:c r="B82" s="117"/>
      <x:c r="C82" s="117"/>
      <x:c r="D82" s="117"/>
      <x:c r="E82" s="117"/>
      <x:c r="F82" s="117"/>
      <x:c r="G82" s="117"/>
      <x:c r="H82" s="117"/>
      <x:c r="I82" s="117"/>
      <x:c r="J82" s="117"/>
      <x:c r="K82" s="117"/>
      <x:c r="L82" s="117"/>
      <x:c r="M82" s="117"/>
      <x:c r="N82" s="117"/>
      <x:c r="O82" s="117"/>
      <x:c r="P82" s="119" t="str">
        <x:f>IF(O82="","",LEN(O82))</x:f>
      </x:c>
      <x:c r="Q82" s="117"/>
      <x:c r="R82" s="119" t="str">
        <x:f>IF(Q82="","",LEN(Q82))</x:f>
      </x:c>
      <x:c r="S82" s="117"/>
      <x:c r="T82" s="117"/>
      <x:c r="U82" s="117"/>
      <x:c r="V82" s="117"/>
      <x:c r="W82" s="117"/>
      <x:c r="X82" s="117"/>
      <x:c r="Y82" s="117"/>
      <x:c r="Z82" s="117" t="str">
        <x:f>IF(J82="","",IF(AND(P82&lt;=60,R82&gt;=140,R82&lt;=160),"OK","Check"))</x:f>
      </x:c>
      <x:c r="AA82" s="117"/>
    </x:row>
    <x:row r="83" ht="72" customHeight="1">
      <x:c r="A83" s="117"/>
      <x:c r="B83" s="117"/>
      <x:c r="C83" s="117"/>
      <x:c r="D83" s="117"/>
      <x:c r="E83" s="117"/>
      <x:c r="F83" s="117"/>
      <x:c r="G83" s="117"/>
      <x:c r="H83" s="117"/>
      <x:c r="I83" s="117"/>
      <x:c r="J83" s="117"/>
      <x:c r="K83" s="117"/>
      <x:c r="L83" s="117"/>
      <x:c r="M83" s="117"/>
      <x:c r="N83" s="117"/>
      <x:c r="O83" s="117"/>
      <x:c r="P83" s="119" t="str">
        <x:f>IF(O83="","",LEN(O83))</x:f>
      </x:c>
      <x:c r="Q83" s="117"/>
      <x:c r="R83" s="119" t="str">
        <x:f>IF(Q83="","",LEN(Q83))</x:f>
      </x:c>
      <x:c r="S83" s="117"/>
      <x:c r="T83" s="117"/>
      <x:c r="U83" s="117"/>
      <x:c r="V83" s="117"/>
      <x:c r="W83" s="117"/>
      <x:c r="X83" s="117"/>
      <x:c r="Y83" s="117"/>
      <x:c r="Z83" s="117" t="str">
        <x:f>IF(J83="","",IF(AND(P83&lt;=60,R83&gt;=140,R83&lt;=160),"OK","Check"))</x:f>
      </x:c>
      <x:c r="AA83" s="117"/>
    </x:row>
    <x:row r="84" ht="72" customHeight="1">
      <x:c r="A84" s="117"/>
      <x:c r="B84" s="117"/>
      <x:c r="C84" s="117"/>
      <x:c r="D84" s="117"/>
      <x:c r="E84" s="117"/>
      <x:c r="F84" s="117"/>
      <x:c r="G84" s="117"/>
      <x:c r="H84" s="117"/>
      <x:c r="I84" s="117"/>
      <x:c r="J84" s="117"/>
      <x:c r="K84" s="117"/>
      <x:c r="L84" s="117"/>
      <x:c r="M84" s="117"/>
      <x:c r="N84" s="117"/>
      <x:c r="O84" s="117"/>
      <x:c r="P84" s="119" t="str">
        <x:f>IF(O84="","",LEN(O84))</x:f>
      </x:c>
      <x:c r="Q84" s="117"/>
      <x:c r="R84" s="119" t="str">
        <x:f>IF(Q84="","",LEN(Q84))</x:f>
      </x:c>
      <x:c r="S84" s="117"/>
      <x:c r="T84" s="117"/>
      <x:c r="U84" s="117"/>
      <x:c r="V84" s="117"/>
      <x:c r="W84" s="117"/>
      <x:c r="X84" s="117"/>
      <x:c r="Y84" s="117"/>
      <x:c r="Z84" s="117" t="str">
        <x:f>IF(J84="","",IF(AND(P84&lt;=60,R84&gt;=140,R84&lt;=160),"OK","Check"))</x:f>
      </x:c>
      <x:c r="AA84" s="117"/>
    </x:row>
    <x:row r="85" ht="72" customHeight="1">
      <x:c r="A85" s="117"/>
      <x:c r="B85" s="117"/>
      <x:c r="C85" s="117"/>
      <x:c r="D85" s="117"/>
      <x:c r="E85" s="117"/>
      <x:c r="F85" s="117"/>
      <x:c r="G85" s="117"/>
      <x:c r="H85" s="117"/>
      <x:c r="I85" s="117"/>
      <x:c r="J85" s="117"/>
      <x:c r="K85" s="117"/>
      <x:c r="L85" s="117"/>
      <x:c r="M85" s="117"/>
      <x:c r="N85" s="117"/>
      <x:c r="O85" s="117"/>
      <x:c r="P85" s="119" t="str">
        <x:f>IF(O85="","",LEN(O85))</x:f>
      </x:c>
      <x:c r="Q85" s="117"/>
      <x:c r="R85" s="119" t="str">
        <x:f>IF(Q85="","",LEN(Q85))</x:f>
      </x:c>
      <x:c r="S85" s="117"/>
      <x:c r="T85" s="117"/>
      <x:c r="U85" s="117"/>
      <x:c r="V85" s="117"/>
      <x:c r="W85" s="117"/>
      <x:c r="X85" s="117"/>
      <x:c r="Y85" s="117"/>
      <x:c r="Z85" s="117" t="str">
        <x:f>IF(J85="","",IF(AND(P85&lt;=60,R85&gt;=140,R85&lt;=160),"OK","Check"))</x:f>
      </x:c>
      <x:c r="AA85" s="117"/>
    </x:row>
    <x:row r="86" ht="72" customHeight="1">
      <x:c r="A86" s="117"/>
      <x:c r="B86" s="117"/>
      <x:c r="C86" s="117"/>
      <x:c r="D86" s="117"/>
      <x:c r="E86" s="117"/>
      <x:c r="F86" s="117"/>
      <x:c r="G86" s="117"/>
      <x:c r="H86" s="117"/>
      <x:c r="I86" s="117"/>
      <x:c r="J86" s="117"/>
      <x:c r="K86" s="117"/>
      <x:c r="L86" s="117"/>
      <x:c r="M86" s="117"/>
      <x:c r="N86" s="117"/>
      <x:c r="O86" s="117"/>
      <x:c r="P86" s="119" t="str">
        <x:f>IF(O86="","",LEN(O86))</x:f>
      </x:c>
      <x:c r="Q86" s="117"/>
      <x:c r="R86" s="119" t="str">
        <x:f>IF(Q86="","",LEN(Q86))</x:f>
      </x:c>
      <x:c r="S86" s="117"/>
      <x:c r="T86" s="117"/>
      <x:c r="U86" s="117"/>
      <x:c r="V86" s="117"/>
      <x:c r="W86" s="117"/>
      <x:c r="X86" s="117"/>
      <x:c r="Y86" s="117"/>
      <x:c r="Z86" s="117" t="str">
        <x:f>IF(J86="","",IF(AND(P86&lt;=60,R86&gt;=140,R86&lt;=160),"OK","Check"))</x:f>
      </x:c>
      <x:c r="AA86" s="117"/>
    </x:row>
    <x:row r="87" ht="72" customHeight="1">
      <x:c r="A87" s="117"/>
      <x:c r="B87" s="117"/>
      <x:c r="C87" s="117"/>
      <x:c r="D87" s="117"/>
      <x:c r="E87" s="117"/>
      <x:c r="F87" s="117"/>
      <x:c r="G87" s="117"/>
      <x:c r="H87" s="117"/>
      <x:c r="I87" s="117"/>
      <x:c r="J87" s="117"/>
      <x:c r="K87" s="117"/>
      <x:c r="L87" s="117"/>
      <x:c r="M87" s="117"/>
      <x:c r="N87" s="117"/>
      <x:c r="O87" s="117"/>
      <x:c r="P87" s="119" t="str">
        <x:f>IF(O87="","",LEN(O87))</x:f>
      </x:c>
      <x:c r="Q87" s="117"/>
      <x:c r="R87" s="119" t="str">
        <x:f>IF(Q87="","",LEN(Q87))</x:f>
      </x:c>
      <x:c r="S87" s="117"/>
      <x:c r="T87" s="117"/>
      <x:c r="U87" s="117"/>
      <x:c r="V87" s="117"/>
      <x:c r="W87" s="117"/>
      <x:c r="X87" s="117"/>
      <x:c r="Y87" s="117"/>
      <x:c r="Z87" s="117" t="str">
        <x:f>IF(J87="","",IF(AND(P87&lt;=60,R87&gt;=140,R87&lt;=160),"OK","Check"))</x:f>
      </x:c>
      <x:c r="AA87" s="117"/>
    </x:row>
    <x:row r="88" ht="72" customHeight="1">
      <x:c r="A88" s="117"/>
      <x:c r="B88" s="117"/>
      <x:c r="C88" s="117"/>
      <x:c r="D88" s="117"/>
      <x:c r="E88" s="117"/>
      <x:c r="F88" s="117"/>
      <x:c r="G88" s="117"/>
      <x:c r="H88" s="117"/>
      <x:c r="I88" s="117"/>
      <x:c r="J88" s="117"/>
      <x:c r="K88" s="117"/>
      <x:c r="L88" s="117"/>
      <x:c r="M88" s="117"/>
      <x:c r="N88" s="117"/>
      <x:c r="O88" s="117"/>
      <x:c r="P88" s="119" t="str">
        <x:f>IF(O88="","",LEN(O88))</x:f>
      </x:c>
      <x:c r="Q88" s="117"/>
      <x:c r="R88" s="119" t="str">
        <x:f>IF(Q88="","",LEN(Q88))</x:f>
      </x:c>
      <x:c r="S88" s="117"/>
      <x:c r="T88" s="117"/>
      <x:c r="U88" s="117"/>
      <x:c r="V88" s="117"/>
      <x:c r="W88" s="117"/>
      <x:c r="X88" s="117"/>
      <x:c r="Y88" s="117"/>
      <x:c r="Z88" s="117" t="str">
        <x:f>IF(J88="","",IF(AND(P88&lt;=60,R88&gt;=140,R88&lt;=160),"OK","Check"))</x:f>
      </x:c>
      <x:c r="AA88" s="117"/>
    </x:row>
    <x:row r="89" ht="72" customHeight="1">
      <x:c r="A89" s="117"/>
      <x:c r="B89" s="117"/>
      <x:c r="C89" s="117"/>
      <x:c r="D89" s="117"/>
      <x:c r="E89" s="117"/>
      <x:c r="F89" s="117"/>
      <x:c r="G89" s="117"/>
      <x:c r="H89" s="117"/>
      <x:c r="I89" s="117"/>
      <x:c r="J89" s="117"/>
      <x:c r="K89" s="117"/>
      <x:c r="L89" s="117"/>
      <x:c r="M89" s="117"/>
      <x:c r="N89" s="117"/>
      <x:c r="O89" s="117"/>
      <x:c r="P89" s="119" t="str">
        <x:f>IF(O89="","",LEN(O89))</x:f>
      </x:c>
      <x:c r="Q89" s="117"/>
      <x:c r="R89" s="119" t="str">
        <x:f>IF(Q89="","",LEN(Q89))</x:f>
      </x:c>
      <x:c r="S89" s="117"/>
      <x:c r="T89" s="117"/>
      <x:c r="U89" s="117"/>
      <x:c r="V89" s="117"/>
      <x:c r="W89" s="117"/>
      <x:c r="X89" s="117"/>
      <x:c r="Y89" s="117"/>
      <x:c r="Z89" s="117" t="str">
        <x:f>IF(J89="","",IF(AND(P89&lt;=60,R89&gt;=140,R89&lt;=160),"OK","Check"))</x:f>
      </x:c>
      <x:c r="AA89" s="117"/>
    </x:row>
    <x:row r="90" ht="72" customHeight="1">
      <x:c r="A90" s="117"/>
      <x:c r="B90" s="117"/>
      <x:c r="C90" s="117"/>
      <x:c r="D90" s="117"/>
      <x:c r="E90" s="117"/>
      <x:c r="F90" s="117"/>
      <x:c r="G90" s="117"/>
      <x:c r="H90" s="117"/>
      <x:c r="I90" s="117"/>
      <x:c r="J90" s="117"/>
      <x:c r="K90" s="117"/>
      <x:c r="L90" s="117"/>
      <x:c r="M90" s="117"/>
      <x:c r="N90" s="117"/>
      <x:c r="O90" s="117"/>
      <x:c r="P90" s="119" t="str">
        <x:f>IF(O90="","",LEN(O90))</x:f>
      </x:c>
      <x:c r="Q90" s="117"/>
      <x:c r="R90" s="119" t="str">
        <x:f>IF(Q90="","",LEN(Q90))</x:f>
      </x:c>
      <x:c r="S90" s="117"/>
      <x:c r="T90" s="117"/>
      <x:c r="U90" s="117"/>
      <x:c r="V90" s="117"/>
      <x:c r="W90" s="117"/>
      <x:c r="X90" s="117"/>
      <x:c r="Y90" s="117"/>
      <x:c r="Z90" s="117" t="str">
        <x:f>IF(J90="","",IF(AND(P90&lt;=60,R90&gt;=140,R90&lt;=160),"OK","Check"))</x:f>
      </x:c>
      <x:c r="AA90" s="117"/>
    </x:row>
    <x:row r="91" ht="72" customHeight="1">
      <x:c r="A91" s="117"/>
      <x:c r="B91" s="117"/>
      <x:c r="C91" s="117"/>
      <x:c r="D91" s="117"/>
      <x:c r="E91" s="117"/>
      <x:c r="F91" s="117"/>
      <x:c r="G91" s="117"/>
      <x:c r="H91" s="117"/>
      <x:c r="I91" s="117"/>
      <x:c r="J91" s="117"/>
      <x:c r="K91" s="117"/>
      <x:c r="L91" s="117"/>
      <x:c r="M91" s="117"/>
      <x:c r="N91" s="117"/>
      <x:c r="O91" s="117"/>
      <x:c r="P91" s="119" t="str">
        <x:f>IF(O91="","",LEN(O91))</x:f>
      </x:c>
      <x:c r="Q91" s="117"/>
      <x:c r="R91" s="119" t="str">
        <x:f>IF(Q91="","",LEN(Q91))</x:f>
      </x:c>
      <x:c r="S91" s="117"/>
      <x:c r="T91" s="117"/>
      <x:c r="U91" s="117"/>
      <x:c r="V91" s="117"/>
      <x:c r="W91" s="117"/>
      <x:c r="X91" s="117"/>
      <x:c r="Y91" s="117"/>
      <x:c r="Z91" s="117" t="str">
        <x:f>IF(J91="","",IF(AND(P91&lt;=60,R91&gt;=140,R91&lt;=160),"OK","Check"))</x:f>
      </x:c>
      <x:c r="AA91" s="117"/>
    </x:row>
    <x:row r="92" ht="72" customHeight="1">
      <x:c r="A92" s="117"/>
      <x:c r="B92" s="117"/>
      <x:c r="C92" s="117"/>
      <x:c r="D92" s="117"/>
      <x:c r="E92" s="117"/>
      <x:c r="F92" s="117"/>
      <x:c r="G92" s="117"/>
      <x:c r="H92" s="117"/>
      <x:c r="I92" s="117"/>
      <x:c r="J92" s="117"/>
      <x:c r="K92" s="117"/>
      <x:c r="L92" s="117"/>
      <x:c r="M92" s="117"/>
      <x:c r="N92" s="117"/>
      <x:c r="O92" s="117"/>
      <x:c r="P92" s="119" t="str">
        <x:f>IF(O92="","",LEN(O92))</x:f>
      </x:c>
      <x:c r="Q92" s="117"/>
      <x:c r="R92" s="119" t="str">
        <x:f>IF(Q92="","",LEN(Q92))</x:f>
      </x:c>
      <x:c r="S92" s="117"/>
      <x:c r="T92" s="117"/>
      <x:c r="U92" s="117"/>
      <x:c r="V92" s="117"/>
      <x:c r="W92" s="117"/>
      <x:c r="X92" s="117"/>
      <x:c r="Y92" s="117"/>
      <x:c r="Z92" s="117" t="str">
        <x:f>IF(J92="","",IF(AND(P92&lt;=60,R92&gt;=140,R92&lt;=160),"OK","Check"))</x:f>
      </x:c>
      <x:c r="AA92" s="117"/>
    </x:row>
    <x:row r="93" ht="72" customHeight="1">
      <x:c r="A93" s="117"/>
      <x:c r="B93" s="117"/>
      <x:c r="C93" s="117"/>
      <x:c r="D93" s="117"/>
      <x:c r="E93" s="117"/>
      <x:c r="F93" s="117"/>
      <x:c r="G93" s="117"/>
      <x:c r="H93" s="117"/>
      <x:c r="I93" s="117"/>
      <x:c r="J93" s="117"/>
      <x:c r="K93" s="117"/>
      <x:c r="L93" s="117"/>
      <x:c r="M93" s="117"/>
      <x:c r="N93" s="117"/>
      <x:c r="O93" s="117"/>
      <x:c r="P93" s="119" t="str">
        <x:f>IF(O93="","",LEN(O93))</x:f>
      </x:c>
      <x:c r="Q93" s="117"/>
      <x:c r="R93" s="119" t="str">
        <x:f>IF(Q93="","",LEN(Q93))</x:f>
      </x:c>
      <x:c r="S93" s="117"/>
      <x:c r="T93" s="117"/>
      <x:c r="U93" s="117"/>
      <x:c r="V93" s="117"/>
      <x:c r="W93" s="117"/>
      <x:c r="X93" s="117"/>
      <x:c r="Y93" s="117"/>
      <x:c r="Z93" s="117" t="str">
        <x:f>IF(J93="","",IF(AND(P93&lt;=60,R93&gt;=140,R93&lt;=160),"OK","Check"))</x:f>
      </x:c>
      <x:c r="AA93" s="117"/>
    </x:row>
    <x:row r="94" ht="72" customHeight="1">
      <x:c r="A94" s="117"/>
      <x:c r="B94" s="117"/>
      <x:c r="C94" s="117"/>
      <x:c r="D94" s="117"/>
      <x:c r="E94" s="117"/>
      <x:c r="F94" s="117"/>
      <x:c r="G94" s="117"/>
      <x:c r="H94" s="117"/>
      <x:c r="I94" s="117"/>
      <x:c r="J94" s="117"/>
      <x:c r="K94" s="117"/>
      <x:c r="L94" s="117"/>
      <x:c r="M94" s="117"/>
      <x:c r="N94" s="117"/>
      <x:c r="O94" s="117"/>
      <x:c r="P94" s="119" t="str">
        <x:f>IF(O94="","",LEN(O94))</x:f>
      </x:c>
      <x:c r="Q94" s="117"/>
      <x:c r="R94" s="119" t="str">
        <x:f>IF(Q94="","",LEN(Q94))</x:f>
      </x:c>
      <x:c r="S94" s="117"/>
      <x:c r="T94" s="117"/>
      <x:c r="U94" s="117"/>
      <x:c r="V94" s="117"/>
      <x:c r="W94" s="117"/>
      <x:c r="X94" s="117"/>
      <x:c r="Y94" s="117"/>
      <x:c r="Z94" s="117" t="str">
        <x:f>IF(J94="","",IF(AND(P94&lt;=60,R94&gt;=140,R94&lt;=160),"OK","Check"))</x:f>
      </x:c>
      <x:c r="AA94" s="117"/>
    </x:row>
    <x:row r="95" ht="72" customHeight="1">
      <x:c r="A95" s="117"/>
      <x:c r="B95" s="117"/>
      <x:c r="C95" s="117"/>
      <x:c r="D95" s="117"/>
      <x:c r="E95" s="117"/>
      <x:c r="F95" s="117"/>
      <x:c r="G95" s="117"/>
      <x:c r="H95" s="117"/>
      <x:c r="I95" s="117"/>
      <x:c r="J95" s="117"/>
      <x:c r="K95" s="117"/>
      <x:c r="L95" s="117"/>
      <x:c r="M95" s="117"/>
      <x:c r="N95" s="117"/>
      <x:c r="O95" s="117"/>
      <x:c r="P95" s="119" t="str">
        <x:f>IF(O95="","",LEN(O95))</x:f>
      </x:c>
      <x:c r="Q95" s="117"/>
      <x:c r="R95" s="119" t="str">
        <x:f>IF(Q95="","",LEN(Q95))</x:f>
      </x:c>
      <x:c r="S95" s="117"/>
      <x:c r="T95" s="117"/>
      <x:c r="U95" s="117"/>
      <x:c r="V95" s="117"/>
      <x:c r="W95" s="117"/>
      <x:c r="X95" s="117"/>
      <x:c r="Y95" s="117"/>
      <x:c r="Z95" s="117" t="str">
        <x:f>IF(J95="","",IF(AND(P95&lt;=60,R95&gt;=140,R95&lt;=160),"OK","Check"))</x:f>
      </x:c>
      <x:c r="AA95" s="117"/>
    </x:row>
    <x:row r="96" ht="72" customHeight="1">
      <x:c r="A96" s="117"/>
      <x:c r="B96" s="117"/>
      <x:c r="C96" s="117"/>
      <x:c r="D96" s="117"/>
      <x:c r="E96" s="117"/>
      <x:c r="F96" s="117"/>
      <x:c r="G96" s="117"/>
      <x:c r="H96" s="117"/>
      <x:c r="I96" s="117"/>
      <x:c r="J96" s="117"/>
      <x:c r="K96" s="117"/>
      <x:c r="L96" s="117"/>
      <x:c r="M96" s="117"/>
      <x:c r="N96" s="117"/>
      <x:c r="O96" s="117"/>
      <x:c r="P96" s="119" t="str">
        <x:f>IF(O96="","",LEN(O96))</x:f>
      </x:c>
      <x:c r="Q96" s="117"/>
      <x:c r="R96" s="119" t="str">
        <x:f>IF(Q96="","",LEN(Q96))</x:f>
      </x:c>
      <x:c r="S96" s="117"/>
      <x:c r="T96" s="117"/>
      <x:c r="U96" s="117"/>
      <x:c r="V96" s="117"/>
      <x:c r="W96" s="117"/>
      <x:c r="X96" s="117"/>
      <x:c r="Y96" s="117"/>
      <x:c r="Z96" s="117" t="str">
        <x:f>IF(J96="","",IF(AND(P96&lt;=60,R96&gt;=140,R96&lt;=160),"OK","Check"))</x:f>
      </x:c>
      <x:c r="AA96" s="117"/>
    </x:row>
    <x:row r="97" ht="72" customHeight="1">
      <x:c r="A97" s="117"/>
      <x:c r="B97" s="117"/>
      <x:c r="C97" s="117"/>
      <x:c r="D97" s="117"/>
      <x:c r="E97" s="117"/>
      <x:c r="F97" s="117"/>
      <x:c r="G97" s="117"/>
      <x:c r="H97" s="117"/>
      <x:c r="I97" s="117"/>
      <x:c r="J97" s="117"/>
      <x:c r="K97" s="117"/>
      <x:c r="L97" s="117"/>
      <x:c r="M97" s="117"/>
      <x:c r="N97" s="117"/>
      <x:c r="O97" s="117"/>
      <x:c r="P97" s="119" t="str">
        <x:f>IF(O97="","",LEN(O97))</x:f>
      </x:c>
      <x:c r="Q97" s="117"/>
      <x:c r="R97" s="119" t="str">
        <x:f>IF(Q97="","",LEN(Q97))</x:f>
      </x:c>
      <x:c r="S97" s="117"/>
      <x:c r="T97" s="117"/>
      <x:c r="U97" s="117"/>
      <x:c r="V97" s="117"/>
      <x:c r="W97" s="117"/>
      <x:c r="X97" s="117"/>
      <x:c r="Y97" s="117"/>
      <x:c r="Z97" s="117" t="str">
        <x:f>IF(J97="","",IF(AND(P97&lt;=60,R97&gt;=140,R97&lt;=160),"OK","Check"))</x:f>
      </x:c>
      <x:c r="AA97" s="117"/>
    </x:row>
    <x:row r="98" ht="72" customHeight="1">
      <x:c r="A98" s="117"/>
      <x:c r="B98" s="117"/>
      <x:c r="C98" s="117"/>
      <x:c r="D98" s="117"/>
      <x:c r="E98" s="117"/>
      <x:c r="F98" s="117"/>
      <x:c r="G98" s="117"/>
      <x:c r="H98" s="117"/>
      <x:c r="I98" s="117"/>
      <x:c r="J98" s="117"/>
      <x:c r="K98" s="117"/>
      <x:c r="L98" s="117"/>
      <x:c r="M98" s="117"/>
      <x:c r="N98" s="117"/>
      <x:c r="O98" s="117"/>
      <x:c r="P98" s="119" t="str">
        <x:f>IF(O98="","",LEN(O98))</x:f>
      </x:c>
      <x:c r="Q98" s="117"/>
      <x:c r="R98" s="119" t="str">
        <x:f>IF(Q98="","",LEN(Q98))</x:f>
      </x:c>
      <x:c r="S98" s="117"/>
      <x:c r="T98" s="117"/>
      <x:c r="U98" s="117"/>
      <x:c r="V98" s="117"/>
      <x:c r="W98" s="117"/>
      <x:c r="X98" s="117"/>
      <x:c r="Y98" s="117"/>
      <x:c r="Z98" s="117" t="str">
        <x:f>IF(J98="","",IF(AND(P98&lt;=60,R98&gt;=140,R98&lt;=160),"OK","Check"))</x:f>
      </x:c>
      <x:c r="AA98" s="117"/>
    </x:row>
    <x:row r="99" ht="72" customHeight="1">
      <x:c r="A99" s="117"/>
      <x:c r="B99" s="117"/>
      <x:c r="C99" s="117"/>
      <x:c r="D99" s="117"/>
      <x:c r="E99" s="117"/>
      <x:c r="F99" s="117"/>
      <x:c r="G99" s="117"/>
      <x:c r="H99" s="117"/>
      <x:c r="I99" s="117"/>
      <x:c r="J99" s="117"/>
      <x:c r="K99" s="117"/>
      <x:c r="L99" s="117"/>
      <x:c r="M99" s="117"/>
      <x:c r="N99" s="117"/>
      <x:c r="O99" s="117"/>
      <x:c r="P99" s="119" t="str">
        <x:f>IF(O99="","",LEN(O99))</x:f>
      </x:c>
      <x:c r="Q99" s="117"/>
      <x:c r="R99" s="119" t="str">
        <x:f>IF(Q99="","",LEN(Q99))</x:f>
      </x:c>
      <x:c r="S99" s="117"/>
      <x:c r="T99" s="117"/>
      <x:c r="U99" s="117"/>
      <x:c r="V99" s="117"/>
      <x:c r="W99" s="117"/>
      <x:c r="X99" s="117"/>
      <x:c r="Y99" s="117"/>
      <x:c r="Z99" s="117" t="str">
        <x:f>IF(J99="","",IF(AND(P99&lt;=60,R99&gt;=140,R99&lt;=160),"OK","Check"))</x:f>
      </x:c>
      <x:c r="AA99" s="117"/>
    </x:row>
    <x:row r="100" ht="72" customHeight="1">
      <x:c r="A100" s="117"/>
      <x:c r="B100" s="117"/>
      <x:c r="C100" s="117"/>
      <x:c r="D100" s="117"/>
      <x:c r="E100" s="117"/>
      <x:c r="F100" s="117"/>
      <x:c r="G100" s="117"/>
      <x:c r="H100" s="117"/>
      <x:c r="I100" s="117"/>
      <x:c r="J100" s="117"/>
      <x:c r="K100" s="117"/>
      <x:c r="L100" s="117"/>
      <x:c r="M100" s="117"/>
      <x:c r="N100" s="117"/>
      <x:c r="O100" s="117"/>
      <x:c r="P100" s="119" t="str">
        <x:f>IF(O100="","",LEN(O100))</x:f>
      </x:c>
      <x:c r="Q100" s="117"/>
      <x:c r="R100" s="119" t="str">
        <x:f>IF(Q100="","",LEN(Q100))</x:f>
      </x:c>
      <x:c r="S100" s="117"/>
      <x:c r="T100" s="117"/>
      <x:c r="U100" s="117"/>
      <x:c r="V100" s="117"/>
      <x:c r="W100" s="117"/>
      <x:c r="X100" s="117"/>
      <x:c r="Y100" s="117"/>
      <x:c r="Z100" s="117" t="str">
        <x:f>IF(J100="","",IF(AND(P100&lt;=60,R100&gt;=140,R100&lt;=160),"OK","Check"))</x:f>
      </x:c>
      <x:c r="AA100" s="117"/>
    </x:row>
    <x:row r="101" ht="72" customHeight="1">
      <x:c r="A101" s="117"/>
      <x:c r="B101" s="117"/>
      <x:c r="C101" s="117"/>
      <x:c r="D101" s="117"/>
      <x:c r="E101" s="117"/>
      <x:c r="F101" s="117"/>
      <x:c r="G101" s="117"/>
      <x:c r="H101" s="117"/>
      <x:c r="I101" s="117"/>
      <x:c r="J101" s="117"/>
      <x:c r="K101" s="117"/>
      <x:c r="L101" s="117"/>
      <x:c r="M101" s="117"/>
      <x:c r="N101" s="117"/>
      <x:c r="O101" s="117"/>
      <x:c r="P101" s="119" t="str">
        <x:f>IF(O101="","",LEN(O101))</x:f>
      </x:c>
      <x:c r="Q101" s="117"/>
      <x:c r="R101" s="119" t="str">
        <x:f>IF(Q101="","",LEN(Q101))</x:f>
      </x:c>
      <x:c r="S101" s="117"/>
      <x:c r="T101" s="117"/>
      <x:c r="U101" s="117"/>
      <x:c r="V101" s="117"/>
      <x:c r="W101" s="117"/>
      <x:c r="X101" s="117"/>
      <x:c r="Y101" s="117"/>
      <x:c r="Z101" s="117" t="str">
        <x:f>IF(J101="","",IF(AND(P101&lt;=60,R101&gt;=140,R101&lt;=160),"OK","Check"))</x:f>
      </x:c>
      <x:c r="AA101" s="117"/>
    </x:row>
  </x:sheetData>
  <x:dataValidations count="3">
    <x:dataValidation type="list" sqref="B2:B101">
      <x:formula1>"Backlog,Brief hazır,Yazılıyor,Edit,Hazır,Yayında"</x:formula1>
    </x:dataValidation>
    <x:dataValidation type="list" sqref="E2:E101">
      <x:formula1>"Farkındalık,Değerlendirme,Karar"</x:formula1>
    </x:dataValidation>
    <x:dataValidation type="list" sqref="G2:G101">
      <x:formula1>"What is,How-to,Pillar,List post,Best-of"</x:formula1>
    </x:dataValidation>
  </x:dataValidations>
  <x:pageMargins left="0.7" right="0.7" top="0.75" bottom="0.75" header="0.3" footer="0.3"/>
  <x:tableParts count="1">
    <x:tablePart xmlns:r="http://schemas.openxmlformats.org/officeDocument/2006/relationships" r:id="R861d83a6eda541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26" hidden="0" customWidth="1"/>
    <x:col min="3" max="3" width="24" hidden="0" customWidth="1"/>
    <x:col min="4" max="4" width="34" hidden="0" customWidth="1"/>
    <x:col min="5" max="5" width="52" hidden="0" customWidth="1"/>
    <x:col min="6" max="6" width="78" hidden="0" customWidth="1"/>
    <x:col min="7" max="7" width="62" hidden="0" customWidth="1"/>
  </x:cols>
  <x:sheetData>
    <x:row r="1">
      <x:c r="A1" s="122" t="str">
        <x:v>H1 / title</x:v>
      </x:c>
      <x:c r="B1" s="122" t="str">
        <x:v>Primary keyword</x:v>
      </x:c>
      <x:c r="C1" s="122" t="str">
        <x:v>Search intent</x:v>
      </x:c>
      <x:c r="D1" s="122" t="str">
        <x:v>Meta title</x:v>
      </x:c>
      <x:c r="E1" s="122" t="str">
        <x:v>Meta description</x:v>
      </x:c>
      <x:c r="F1" s="122" t="str">
        <x:v>Outline / brief</x:v>
      </x:c>
      <x:c r="G1" s="122" t="str">
        <x:v>CTA</x:v>
      </x:c>
    </x:row>
    <x:row r="2" ht="84" customHeight="1">
      <x:c r="A2" s="117" t="str">
        <x:f>IF('Programmatic_SEO_Template'!J2="","",'Programmatic_SEO_Template'!J2)</x:f>
        <x:v>Rank Prompt Nedir? AI Arama Görünürlüğü İçin Tarafsız Rehber</x:v>
      </x:c>
      <x:c r="B2" s="117" t="str">
        <x:f>IF('Programmatic_SEO_Template'!L2="","",'Programmatic_SEO_Template'!L2)</x:f>
        <x:v>Rank Prompt nedir</x:v>
      </x:c>
      <x:c r="C2" s="117" t="str">
        <x:f>IF('Programmatic_SEO_Template'!M2="","",'Programmatic_SEO_Template'!M2)</x:f>
        <x:v>Ticari araştırma / bilgilendirici</x:v>
      </x:c>
      <x:c r="D2" s="117" t="str">
        <x:f>IF('Programmatic_SEO_Template'!O2="","",'Programmatic_SEO_Template'!O2)</x:f>
        <x:v>Rank Prompt Nedir? AI Görünürlük Rehberi</x:v>
      </x:c>
      <x:c r="E2" s="117" t="str">
        <x:f>IF('Programmatic_SEO_Template'!Q2="","",'Programmatic_SEO_Template'!Q2)</x:f>
        <x:v>Rank Prompt nedir, AI görünürlük aracı nasıl çalışır ve kimler için uygundur? Özellikleri, kullanım akışını ve sınırlamaları tarafsız biçimde inceleyin.</x:v>
      </x:c>
      <x:c r="F2" s="117" t="str">
        <x:f>IF('Programmatic_SEO_Template'!S2="","",'Programmatic_SEO_Template'!S2)</x:f>
        <x:v>TEMPLATE: HubSpot “What Is” — ürün odaklı editoryal
    HEDEF UZUNLUK: 1.500–2.000 kelime; 2.500 kelimeyi geçme.
    OKUYUCU: SEO uzmanları, growth ekipleri, ajanslar, SaaS kurucuları
    FUNNEL AŞAMASI: Değerlendirme
    ARAMA NİYETİ: Ticari araştırma / bilgilendirici
    TON: Profesyonel, anlaşılır, kanıta dayalı ve tarafsız. Reklam dili, abartı, “garantili görünürlük” ve doğrulanmamış üstünlük iddiaları kullanma.
    ANAHTAR KELİMELER
    - Birincil: Rank Prompt nedir
    - İlgili/uzun kuyruklu: Rank Prompt ne işe yarar, Rank Prompt inceleme, Rank Prompt özellikleri, Rank Prompt fiyatları, AI görünürlük platformu, ChatGPT görünürlük aracı, GEO takip aracı, LLM marka takibi, AI rakip analizi, AI citation tracking, AI visibility score, Rank Prompt alternatifleri
    - Birincil anahtar kelimeyi ilk 100 kelime içinde doğal biçimde kullan.
    - Anahtar kelimeyi en az 3 başlıkta doğal ve dilbilgisel olarak kullan; keyword stuffing yapma.
    AÇILIŞ
    - H1: Rank Prompt Nedir? AI Arama Görünürlüğü İçin Tarafsız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ürün yazıları çoğunlukla özellik listesinden ibaret. Bu yazı; gerçek kullanım akışı, hangi ekip için mantıklı olduğu, ölçüm metodolojisi, veri sınırlamaları ve 'garanti vermez' çerçevesini birlikte sunmalı.
    ZORUNLU ÖZGÜN KANIT / PROPRIETARY INFORMATION
    Bir Ortak Alan markası veya örnek SaaS için aynı gün 25 satın alma niyetli prompt çalıştırın; platform, görünürlük puanı, marka geçişi, rakip ve kaynak sayısını ekran görüntüleriyle raporlayın. Sonuçları olumlu ya da olumsuz olduğu haliyle yazın.
    Bu çalışma yapılmadan yazıyı yayıma hazır sayma. Test tarihi, prompt sayısı, platformlar, dil/ülke ve yöntem açıkça belirtilsin. Veri üretilemezse sonuç uydurma; “test henüz yapılmadı” notu bırak.
    İÇERİK PLANI
    H2 — Rank Prompt Nedir?
50-60 kelimelik doğrudan tanım verin. Rank Prompt’u AI arama görünürlüğünü ölçen, rakip ve kaynak boşluklarını analiz eden bir platform olarak açıklayın; Google sıralama garantisi vermediğini belirtin.
H2 — Rank Prompt Hangi Problemi Çözüyor?
Klasik rank tracking ile AI yanıtlarındaki marka önerilme/citation takibi arasındaki farkı anlatın.
H2 — Rank Prompt Nasıl Çalışır?
H3: Marka ve sektör tanımı; H3: Prompt seti oluşturma; H3: ChatGPT, Perplexity, Google AI Mode, Claude, Gemini ve Grok taramaları; H3: Görünürlük skoru, rakipler ve kaynaklar; H3: Öneriler ve yeniden tarama.
H2 — Rank Prompt’un Öne Çıkan Özellikleri
AI visibility, citation/source tracking, competitor analysis, scheduled reports, content/SEO audit, GA4/Search Console entegrasyonları ve ajans kullanımını fayda odaklı açıklayın.
H2 — Kimler İçin Uygun, Kimler İçin Gereksiz?
SaaS, e-ticaret, profesyonel hizmetler ve ajansları ayrı değerlendirin. Çok düşük arama talebi olan mikro markalar ile yalnızca klasik keyword rank tracking arayanlar için sınırlamaları dürüstçe yazın.
H2 — Rank Prompt Fiyatlandırması Nasıl Değerlendirilmeli?
Güncel fiyatı yalnızca resmi sayfadan kontrol ederek yazın; kredi mantığını, marka limitlerini, ekip/ajans ihtiyacını ve toplam sahip olma maliyetini açıklayın. Tarih damgası ekleyin.
H2 — Rank Prompt’un Artıları ve Eksileri
En az 4 artı, 4 sınırlama. Veri örneklemi, prompt seçimi, model değişkenliği ve üçüncü taraf araçların erişemediği dahili metrikler konusunda şeffaf olun.
H2 — Rank Prompt ile İlk AI Görünürlük Taraması
Adım adım onboarding ve 25 promptluk başlangıç deneyi verin; ölçülecek KPI’ları tanımlayın.
H2 — Sonuç
Kimin denemesi gerektiğini tek paragrafta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Rank Prompt ücretsiz denenebilir mi?
- Rank Prompt hangi AI platformlarını izler?
- Rank Prompt SEO aracının yerini alır mı?
- AI görünürlük skoru güvenilir mi?
- Rank Prompt ajanslar için uygun mu?
    Her cevap 1–3 cümle olsun; soruyu cevabın içinde doğal biçimde tekrar et.
    İÇ LİNKLER
    - https://ortakalan.io/dextergpt-nedir/ — “AI SEO otomasyonu” anchor metni
- Yayın sonrası /ai-gorunurluk-nedir/ — “AI görünürlük nedir” anchor metni
    Gelecek URL henüz yayımlanmadıysa linki kırık bırakma; içerik yayımlandıktan sonra eklenmek üzere editör notu koy.
    GÖRSEL ÖNERİLERİ
    - rank-prompt-nedir-kapak.webp | Alt: Rank Prompt AI görünürlük platformunu anlatan sade kapak görseli
- rank-prompt-dashboard.webp | Alt: Rank Prompt görünürlük skoru ve rakip paneli ekranı
- rank-prompt-prompt-analizi.webp | Alt: Prompt bazında marka, rakip ve kaynak analizi ekranı
- rank-prompt-is-akisi.webp | Alt: Tarama, analiz, optimizasyon ve yeniden ölçüm iş akışı diyagramı
    Kapak + en az 3 ek görsel kullan. Ekran görüntülerinde tarih ve veri kaynağı belirt; kişisel/müşteri verilerini maskele.
    KAYNAKLAR
    Öncelikle resmi ve birincil kaynakları kullan:
    - https://rankprompt.com/
- https://rankprompt.com/pricing/
- https://rankprompt.com/llm-info/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 s="117" t="str">
        <x:f>IF('Programmatic_SEO_Template'!T2="","",'Programmatic_SEO_Template'!T2)</x:f>
        <x:v>Rank Prompt’u kendi markanızın gerçek promptlarıyla değerlendirmek için platformu bu bağlantıdan inceleyebilirsiniz: https://join.rankprompt.com/zzzuy8sjj9ke-xj5vs Karar vermeden önce güncel kapsamı, fiyatı ve kredi koşullarını resmi sayfada doğrulayın. Şeffaflık notu: Bu bir iş ortaklığı bağlantısıdır; kayıt veya satın alma halinde Ortak Alan komisyon kazanabilir.</x:v>
      </x:c>
    </x:row>
    <x:row r="3" ht="84" customHeight="1">
      <x:c r="A3" s="117" t="str">
        <x:f>IF('Programmatic_SEO_Template'!J3="","",'Programmatic_SEO_Template'!J3)</x:f>
        <x:v>AI Görünürlük Nedir? Markalar İçin Ölçüm ve İyileştirme Rehberi</x:v>
      </x:c>
      <x:c r="B3" s="117" t="str">
        <x:f>IF('Programmatic_SEO_Template'!L3="","",'Programmatic_SEO_Template'!L3)</x:f>
        <x:v>AI görünürlük nedir</x:v>
      </x:c>
      <x:c r="C3" s="117" t="str">
        <x:f>IF('Programmatic_SEO_Template'!M3="","",'Programmatic_SEO_Template'!M3)</x:f>
        <x:v>Bilgilendirici</x:v>
      </x:c>
      <x:c r="D3" s="117" t="str">
        <x:f>IF('Programmatic_SEO_Template'!O3="","",'Programmatic_SEO_Template'!O3)</x:f>
        <x:v>AI Görünürlük Nedir? Ölçüm Rehberi</x:v>
      </x:c>
      <x:c r="E3" s="117" t="str">
        <x:f>IF('Programmatic_SEO_Template'!Q3="","",'Programmatic_SEO_Template'!Q3)</x:f>
        <x:v>AI görünürlük nedir, ChatGPT marka görünürlüğü nasıl ölçülür ve AI görünürlük skoru ne anlatır? Temel metrikleri öğrenin, ilk marka denetiminizi yapın.</x:v>
      </x:c>
      <x:c r="F3" s="117" t="str">
        <x:f>IF('Programmatic_SEO_Template'!S3="","",'Programmatic_SEO_Template'!S3)</x:f>
        <x:v>TEMPLATE: HubSpot “What Is”
    HEDEF UZUNLUK: 1.500–2.000 kelime; 2.500 kelimeyi geçme.
    OKUYUCU: Pazarlama yöneticileri, marka ekipleri, girişimciler
    FUNNEL AŞAMASI: Farkındalık
    ARAMA NİYETİ: Bilgilendirici
    TON: Profesyonel, anlaşılır, kanıta dayalı ve tarafsız. Reklam dili, abartı, “garantili görünürlük” ve doğrulanmamış üstünlük iddiaları kullanma.
    ANAHTAR KELİMELER
    - Birincil: AI görünürlük nedir
    - İlgili/uzun kuyruklu: yapay zeka görünürlüğü, AI marka görünürlüğü, ChatGPT marka görünürlüğü, LLM görünürlüğü, AI visibility nedir, AI görünürlük skoru, AI arama ölçümü, marka mention takibi, AI citation tracking, GEO ölçümü, AEO performansı, AI share of voice
    - Birincil anahtar kelimeyi ilk 100 kelime içinde doğal biçimde kullan.
    - Anahtar kelimeyi en az 3 başlıkta doğal ve dilbilgisel olarak kullan; keyword stuffing yapma.
    AÇILIŞ
    - H1: AI Görünürlük Nedir? Markalar İçin Ölçüm ve İyileştirme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içeriklerin çoğu AI görünürlüğünü tek bir mention sayısına indiriyor. Bu yazı dört katmanlı bir ölçüm modeli ve örnek hesaplama sunmalı.
    ZORUNLU ÖZGÜN KANIT / PROPRIETARY INFORMATION
    Aynı sektörden üç markayı 20 ortak promptta test edip 'görünme', 'önerilme', 'kaynak gösterilme' ve 'doğru tanımlanma' oranlarını ayrı ayrı gösteren mini veri tablosu oluşturun.
    Bu çalışma yapılmadan yazıyı yayıma hazır sayma. Test tarihi, prompt sayısı, platformlar, dil/ülke ve yöntem açıkça belirtilsin. Veri üretilemezse sonuç uydurma; “test henüz yapılmadı” notu bırak.
    İÇERİK PLANI
    H2 — AI Görünürlük Nedir?
50-60 kelimede doğrudan tanımlayın: Bir markanın AI destekli arama ve yanıt sistemlerinde ne sıklıkta, hangi bağlamda ve hangi kaynaklarla görünür olduğudur.
H2 — AI Görünürlük ile Klasik SEO Görünürlüğü Arasındaki Fark
SERP sırası, yanıt içinde önerilme, citation, sentiment ve prompt kapsamını tabloyla karşılaştırın.
H2 — AI Görünürlüğün Dört Katmanı
H3: Mention; H3: Recommendation; H3: Citation; H3: Brand accuracy/sentiment. Her metrik için neyi ölçtüğünü ve neyi ölçmediğini yazın.
H2 — AI Görünürlük Skoru Nasıl Hesaplanır?
Basit örnek formül verin; prompt ağırlığı ve yüksek niyetli sorguların önemini açıklayın. Araca göre metodolojinin değişebileceğini belirtin.
H2 — AI Görünürlük Neden Önemli?
Satın alma keşfi, güven, marka anlatısının doğruluğu, rakip payı ve trafik üzerindeki etkileri ayrı başlıklarla anlatın; kesin nedensellik iddiasından kaçının.
H2 — AI Görünürlük Nasıl Ölçülür?
Manuel yöntem ve araçla izleme yöntemini karşılaştırın. Platform, konum, dil, tarih ve prompt setini sabitleme gereğini vurgulayın.
H2 — İlk 30 Günlük AI Görünürlük Planı
Hafta 1 baseline, hafta 2 teknik/içerik düzeltmeleri, hafta 3 kaynak geliştirme, hafta 4 yeniden tarama ve rapor.
H2 — Sonuç
Ölçmeden optimizasyon yapılamayacağını özetleyin; yeni bilgi eklemeyin.
    SONUÇ
    - 100–150 kelime.
    - Yalnızca ana bulguları özetle; yeni bilgi veya yeni iddia ekleme.
    - CTA’yı tek paragrafta, doğal ve baskısız biçimde kullan.
    SSS
    3–7 soru kullan; aşağıdaki sorular long-tail hedefleridir ve mevcut H2’leri tekrar etmemelidir:
    - AI görünürlük ile marka bilinirliği aynı şey mi?
- ChatGPT marka görünürlüğü ücretsiz ölçülebilir mi?
- AI görünürlük skoru kaç olmalı?
- AI görünürlüğü ne sıklıkla kontrol edilmeli?
- AI görünürlük satışları doğrudan artırır mı?
    Her cevap 1–3 cümle olsun; soruyu cevabın içinde doğal biçimde tekrar et.
    İÇ LİNKLER
    - /rank-prompt-nedir/ — “AI görünürlük platformu” anchor metni
- https://ortakalan.io/dextergpt-nedir/ — “AI SEO nedir” anchor metni
    Gelecek URL henüz yayımlanmadıysa linki kırık bırakma; içerik yayımlandıktan sonra eklenmek üzere editör notu koy.
    GÖRSEL ÖNERİLERİ
    - ai-gorunurluk-nedir-kapak.webp | Alt: AI görünürlük kavramını marka ve yapay zeka yanıtlarıyla gösteren kapak
- ai-gorunurluk-metrikleri.webp | Alt: Mention, önerilme, citation ve doğruluk metrikleri diyagramı
- seo-vs-ai-gorunurluk.webp | Alt: Klasik SEO görünürlüğü ile AI görünürlüğü karşılaştırma tablosu
- 30-gun-ai-gorunurluk-plani.webp | Alt: 30 günlük AI görünürlük ölçüm ve iyileştirme takvimi
    Kapak + en az 3 ek görsel kullan. Ekran görüntülerinde tarih ve veri kaynağı belirt; kişisel/müşteri verilerini maskele.
    KAYNAKLAR
    Öncelikle resmi ve birincil kaynakları kullan:
    - https://rankprompt.com/llm-info/
- https://developers.google.com/search/docs/appearance/ai-features
- https://developers.google.com/search/docs/fundamentals/ai-optimization-guide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3" s="117" t="str">
        <x:f>IF('Programmatic_SEO_Template'!T3="","",'Programmatic_SEO_Template'!T3)</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4" ht="84" customHeight="1">
      <x:c r="A4" s="117" t="str">
        <x:f>IF('Programmatic_SEO_Template'!J4="","",'Programmatic_SEO_Template'!J4)</x:f>
        <x:v>AEO, GEO ve SEO Arasındaki Farklar: Hangi Strateji Ne Zaman Kullanılır?</x:v>
      </x:c>
      <x:c r="B4" s="117" t="str">
        <x:f>IF('Programmatic_SEO_Template'!L4="","",'Programmatic_SEO_Template'!L4)</x:f>
        <x:v>AEO GEO SEO farkı</x:v>
      </x:c>
      <x:c r="C4" s="117" t="str">
        <x:f>IF('Programmatic_SEO_Template'!M4="","",'Programmatic_SEO_Template'!M4)</x:f>
        <x:v>Bilgilendirici / karşılaştırmalı</x:v>
      </x:c>
      <x:c r="D4" s="117" t="str">
        <x:f>IF('Programmatic_SEO_Template'!O4="","",'Programmatic_SEO_Template'!O4)</x:f>
        <x:v>AEO, GEO ve SEO Arasındaki Farklar</x:v>
      </x:c>
      <x:c r="E4" s="117" t="str">
        <x:f>IF('Programmatic_SEO_Template'!Q4="","",'Programmatic_SEO_Template'!Q4)</x:f>
        <x:v>AEO, GEO ve SEO farkı nedir; answer engine optimization ile generative engine optimization nasıl ayrılır? Karşılaştırmayı okuyun, doğru stratejiyi seçin.</x:v>
      </x:c>
      <x:c r="F4" s="117" t="str">
        <x:f>IF('Programmatic_SEO_Template'!S4="","",'Programmatic_SEO_Template'!S4)</x:f>
        <x:v>TEMPLATE: HubSpot Pillar Page
    HEDEF UZUNLUK: 1.500–2.000 kelime; 2.500 kelimeyi geçme.
    OKUYUCU: SEO uzmanları, içerik stratejistleri, pazarlama liderleri
    FUNNEL AŞAMASI: Farkındalık
    ARAMA NİYETİ: Bilgilendirici / karşılaştırmalı
    TON: Profesyonel, anlaşılır, kanıta dayalı ve tarafsız. Reklam dili, abartı, “garantili görünürlük” ve doğrulanmamış üstünlük iddiaları kullanma.
    ANAHTAR KELİMELER
    - Birincil: AEO GEO SEO farkı
    - İlgili/uzun kuyruklu: AEO nedir, GEO nedir, SEO nedir, answer engine optimization, generative engine optimization, LLMO nedir, AI SEO, AEO ve SEO farkı, GEO ve SEO farkı, AI arama optimizasyonu, cevap motoru optimizasyonu, üretken arama optimizasyonu
    - Birincil anahtar kelimeyi ilk 100 kelime içinde doğal biçimde kullan.
    - Anahtar kelimeyi en az 3 başlıkta doğal ve dilbilgisel olarak kullan; keyword stuffing yapma.
    AÇILIŞ
    - H1: AEO, GEO ve SEO Arasındaki Farklar: Hangi Strateji Ne Zaman Kullanılır?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içerik terimleri birbirinin yerine kullanıyor. Yazı Google’ın resmi yaklaşımını da dahil ederek terimlerin pazarlama etiketleri ile uygulanabilir iş kalemlerini ayırmalı.
    ZORUNLU ÖZGÜN KANIT / PROPRIETARY INFORMATION
    Ortak Alan için tek bir içerik sayfasını üç mercekten değerlendiren gerçek bir mini audit ekleyin: klasik SEO sinyalleri, cevaplanabilirlik ve AI citation/brand visibility.
    Bu çalışma yapılmadan yazıyı yayıma hazır sayma. Test tarihi, prompt sayısı, platformlar, dil/ülke ve yöntem açıkça belirtilsin. Veri üretilemezse sonuç uydurma; “test henüz yapılmadı” notu bırak.
    İÇERİK PLANI
    H2 — SEO, AEO ve GEO Kısaca Ne Anlama Gelir?
Her terimi 2-3 cümlede tanımlayın ve aynı hedefe giden farklı ölçüm katmanları olduğunu açıklayın.
H2 — AEO, GEO ve SEO Karşılaştırma Tablosu
Hedef, kanal, çıktı, KPI, içerik formatı, teknik gereksinim ve ölçüm araçları sütunlarıyla karşılaştırın.
H2 — SEO Ne Zaman Önceliklidir?
İndekslenme, organik trafik, ticari sayfa sıralaması ve site sağlığı için temel rolünü anlatın.
H2 — AEO Ne Zaman Önceliklidir?
Doğrudan cevaplar, FAQ, featured snippet, sesli ve cevap motoru kullanım senaryolarını açıklayın.
H2 — GEO Ne Zaman Önceliklidir?
AI üretilen yanıtlarda mention, recommendation, citation ve brand perception hedeflerini açıklayın.
H2 — Google Bu Terimlere Nasıl Yaklaşıyor?
Google’ın generative AI search için temel SEO uygulamalarının geçerli olduğu ve özel 'hack' gerekmediği resmi görüşünü doğru bağlamda aktarın.
H2 — Üç Stratejiyi Tek Yol Haritasında Birleştirme
Teknik erişilebilirlik → people-first içerik → net entity sinyalleri → üçüncü taraf otorite → prompt bazlı ölçüm akışını verin.
H2 — Örnek: Bir SaaS Sayfasını SEO, AEO ve GEO İçin Optimize Etmek
Aynı sayfada title/internal link, kısa cevap, özgün veri, Organization/SoftwareApplication schema ve citation geliştirme örneği verin.
H2 — Sonuç
Terim tartışması yerine iş hedefi ve KPI seçimini vurgulayın.
    SONUÇ
    - 100–150 kelime.
    - Yalnızca ana bulguları özetle; yeni bilgi veya yeni iddia ekleme.
    - CTA’yı tek paragrafta, doğal ve baskısız biçimde kullan.
    SSS
    3–7 soru kullan; aşağıdaki sorular long-tail hedefleridir ve mevcut H2’leri tekrar etmemelidir:
    - LLMO ile GEO aynı şey mi?
- AEO SEO’nun yerini alır mı?
- GEO için ayrı bir ekip gerekir mi?
- AEO çalışmaları Google sıralamasını etkiler mi?
- Küçük işletmeler önce SEO mu GEO mu yapmalı?
    Her cevap 1–3 cümle olsun; soruyu cevabın içinde doğal biçimde tekrar et.
    İÇ LİNKLER
    - /ai-gorunurluk-nedir/ — “AI görünürlük” anchor metni
- https://ortakalan.io/dextergpt-nedir/ — “AI SEO otomasyonu” anchor metni
    Gelecek URL henüz yayımlanmadıysa linki kırık bırakma; içerik yayımlandıktan sonra eklenmek üzere editör notu koy.
    GÖRSEL ÖNERİLERİ
    - aeo-geo-seo-farki-kapak.webp | Alt: AEO GEO ve SEO kavramlarını üç kesişen daireyle gösteren kapak
- aeo-geo-seo-karsilastirma.webp | Alt: AEO GEO ve SEO karşılaştırma matrisi
- arama-optimizasyonu-yol-haritasi.webp | Alt: SEO’dan AI görünürlüğüne birleşik optimizasyon yol haritası
- saas-sayfa-audit-ornegi.webp | Alt: Bir SaaS sayfasının SEO AEO GEO mini audit görseli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https://developers.google.com/search/docs/appearance/ai-features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4" s="117" t="str">
        <x:f>IF('Programmatic_SEO_Template'!T4="","",'Programmatic_SEO_Template'!T4)</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5" ht="84" customHeight="1">
      <x:c r="A5" s="117" t="str">
        <x:f>IF('Programmatic_SEO_Template'!J5="","",'Programmatic_SEO_Template'!J5)</x:f>
        <x:v>AI Görünürlük Skoru Nedir? Hesaplama, Benchmark ve Yorumlama</x:v>
      </x:c>
      <x:c r="B5" s="117" t="str">
        <x:f>IF('Programmatic_SEO_Template'!L5="","",'Programmatic_SEO_Template'!L5)</x:f>
        <x:v>AI görünürlük skoru</x:v>
      </x:c>
      <x:c r="C5" s="117" t="str">
        <x:f>IF('Programmatic_SEO_Template'!M5="","",'Programmatic_SEO_Template'!M5)</x:f>
        <x:v>Bilgilendirici</x:v>
      </x:c>
      <x:c r="D5" s="117" t="str">
        <x:f>IF('Programmatic_SEO_Template'!O5="","",'Programmatic_SEO_Template'!O5)</x:f>
        <x:v>AI Görünürlük Skoru Nedir?</x:v>
      </x:c>
      <x:c r="E5" s="117" t="str">
        <x:f>IF('Programmatic_SEO_Template'!Q5="","",'Programmatic_SEO_Template'!Q5)</x:f>
        <x:v>AI görünürlük skoru nasıl hesaplanır, iyi skor kaçtır ve ChatGPT görünürlük metriği nasıl yorumlanır? Örnek formülü görün, kendi benchmark’ınızı kurun.</x:v>
      </x:c>
      <x:c r="F5" s="117" t="str">
        <x:f>IF('Programmatic_SEO_Template'!S5="","",'Programmatic_SEO_Template'!S5)</x:f>
        <x:v>TEMPLATE: HubSpot “What Is”
    HEDEF UZUNLUK: 1.500–2.000 kelime; 2.500 kelimeyi geçme.
    OKUYUCU: SEO analistleri, pazarlama yöneticileri, ajans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skoru
    - İlgili/uzun kuyruklu: AI visibility score, ChatGPT görünürlük skoru, LLM visibility score, AI share of voice, marka mention oranı, AI citation oranı, prompt coverage, AI benchmark, rakip görünürlük skoru, AI sıralama metriği, GEO KPI, AI görünürlük ölçümü
    - Birincil anahtar kelimeyi ilk 100 kelime içinde doğal biçimde kullan.
    - Anahtar kelimeyi en az 3 başlıkta doğal ve dilbilgisel olarak kullan; keyword stuffing yapma.
    AÇILIŞ
    - H1: AI Görünürlük Skoru Nedir? Hesaplama, Benchmark ve Yorumlama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yazılar genellikle araca ait tek yüzdeyi açıklıyor. Bu yazı skoru bileşenlerine ayırmalı, örneklem yanlılığını ve yanlış karşılaştırma riskini göstermeli.
    ZORUNLU ÖZGÜN KANIT / PROPRIETARY INFORMATION
    Ağırlıklı ve ağırlıksız iki ayrı skor modeli oluşturun; 30 promptluk örnek veriyle yüksek niyetli promptların toplam skoru nasıl değiştirdiğini hesaplayın.
    Bu çalışma yapılmadan yazıyı yayıma hazır sayma. Test tarihi, prompt sayısı, platformlar, dil/ülke ve yöntem açıkça belirtilsin. Veri üretilemezse sonuç uydurma; “test henüz yapılmadı” notu bırak.
    İÇERİK PLANI
    H2 — AI Görünürlük Skoru Nedir?
Skorun, seçilen prompt setinde bir markanın görünme ve/veya önerilme oranını özetleyen araç bağımlı bir metrik olduğunu açıklayın.
H2 — AI Görünürlük Skorunun Bileşenleri
Prompt coverage, mention rate, recommendation rate, citation rate, position, sentiment ve platform kapsamını tanımlayın.
H2 — Basit AI Görünürlük Skoru Nasıl Hesaplanır?
Formül ve 10 promptluk sayısal örnek verin.
H2 — Ağırlıklı Skor Neden Daha Anlamlı Olabilir?
Yüksek satın alma niyetli promptlara ağırlık verme örneği ve risklerini anlatın.
H2 — İyi AI Görünürlük Skoru Kaçtır?
Evrensel eşik olmadığını; sektör, marka bilinirliği, prompt seti ve rakip sayısına göre benchmark kurulması gerektiğini vurgulayın.
H2 — Skoru Yanlış Yorumlamanın 6 Yolu
Az prompt, farklı tarih/model, sadece mention, marka sorguları, lokasyon/dil farkı, citation kalitesini yok sayma.
H2 — Kendi Benchmark’ınızı Nasıl Kurarsınız?
Baseline, 3-5 rakip, sabit prompt seti, platform bazlı kırılım, aylık yeniden tarama ve değişiklik günlüğü adımları.
H2 — Sonuç
Skoru tek başına hedef değil, karar destek metriği olarak konumlandırın.
    SONUÇ
    - 100–150 kelime.
    - Yalnızca ana bulguları özetle; yeni bilgi veya yeni iddia ekleme.
    - CTA’yı tek paragrafta, doğal ve baskısız biçimde kullan.
    SSS
    3–7 soru kullan; aşağıdaki sorular long-tail hedefleridir ve mevcut H2’leri tekrar etmemelidir:
    - AI görünürlük skoru yüzde kaç olmalı?
- AI görünürlük skoru neden her araçta farklıdır?
- Marka sorguları skora dahil edilmeli mi?
- AI share of voice nasıl hesaplanır?
- Görünürlük skoru ne sıklıkla güncellenmeli?
    Her cevap 1–3 cümle olsun; soruyu cevabın içinde doğal biçimde tekrar et.
    İÇ LİNKLER
    - /ai-gorunurluk-nedir/ — “AI görünürlük nedir” anchor metni
- /rank-prompt-nedir/ — “AI görünürlük skoru ölçen araç” anchor metni
    Gelecek URL henüz yayımlanmadıysa linki kırık bırakma; içerik yayımlandıktan sonra eklenmek üzere editör notu koy.
    GÖRSEL ÖNERİLERİ
    - ai-gorunurluk-skoru-kapak.webp | Alt: AI görünürlük skoru göstergesi ve marka ikonları
- ai-skor-formulu.webp | Alt: AI görünürlük skoru örnek hesaplama formülü
- agirlikli-ai-skoru.webp | Alt: Ağırlıklı ve ağırlıksız AI görünürlük skoru karşılaştırması
- ai-benchmark-dashboard.webp | Alt: Rakiplere göre AI görünürlük benchmark dashboard örneği
    Kapak + en az 3 ek görsel kullan. Ekran görüntülerinde tarih ve veri kaynağı belirt; kişisel/müşteri verilerini maskele.
    KAYNAKLAR
    Öncelikle resmi ve birincil kaynakları kullan:
    - https://rankprompt.com/llm-info/
- https://rankprompt.com/ai-visibility-benchmarks-where-do-you-stand/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5" s="117" t="str">
        <x:f>IF('Programmatic_SEO_Template'!T5="","",'Programmatic_SEO_Template'!T5)</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6" ht="84" customHeight="1">
      <x:c r="A6" s="117" t="str">
        <x:f>IF('Programmatic_SEO_Template'!J6="","",'Programmatic_SEO_Template'!J6)</x:f>
        <x:v>ChatGPT’de Marka Görünürlüğü Nasıl Ölçülür? 8 Adımlı Sistem</x:v>
      </x:c>
      <x:c r="B6" s="117" t="str">
        <x:f>IF('Programmatic_SEO_Template'!L6="","",'Programmatic_SEO_Template'!L6)</x:f>
        <x:v>ChatGPT marka görünürlüğü ölçme</x:v>
      </x:c>
      <x:c r="C6" s="117" t="str">
        <x:f>IF('Programmatic_SEO_Template'!M6="","",'Programmatic_SEO_Template'!M6)</x:f>
        <x:v>Bilgilendirici / ticari araştırma</x:v>
      </x:c>
      <x:c r="D6" s="117" t="str">
        <x:f>IF('Programmatic_SEO_Template'!O6="","",'Programmatic_SEO_Template'!O6)</x:f>
        <x:v>ChatGPT Marka Görünürlüğü Nasıl Ölçülür?</x:v>
      </x:c>
      <x:c r="E6" s="117" t="str">
        <x:f>IF('Programmatic_SEO_Template'!Q6="","",'Programmatic_SEO_Template'!Q6)</x:f>
        <x:v>ChatGPT marka görünürlüğü nasıl ölçülür ve ChatGPT’de marka takibi hangi metriklerle yapılır? 8 adımlı sistemi uygulayın, sonuçları düzenli olarak izleyin.</x:v>
      </x:c>
      <x:c r="F6" s="117" t="str">
        <x:f>IF('Programmatic_SEO_Template'!S6="","",'Programmatic_SEO_Template'!S6)</x:f>
        <x:v>TEMPLATE: Contact Studios How-To — ürün tie-in
    HEDEF UZUNLUK: 1.500–2.000 kelime; 2.500 kelimeyi geçme.
    OKUYUCU: Marka yöneticileri, SEO uzmanları, SaaS ve e-ticaret ekipleri
    FUNNEL AŞAMASI: Değerlendirme
    ARAMA NİYETİ: Bilgilendirici / ticari araştırma
    TON: Profesyonel, anlaşılır, kanıta dayalı ve tarafsız. Reklam dili, abartı, “garantili görünürlük” ve doğrulanmamış üstünlük iddiaları kullanma.
    ANAHTAR KELİMELER
    - Birincil: ChatGPT marka görünürlüğü ölçme
    - İlgili/uzun kuyruklu: ChatGPT marka takibi, ChatGPT’de görünürlük, ChatGPT mention tracking, ChatGPT brand monitoring, ChatGPT öneri takibi, AI marka ölçümü, ChatGPT citation tracking, ChatGPT rakip analizi, LLM prompt tracking, ChatGPT görünürlük raporu, AI share of voice, ChatGPT marka denetimi
    - Birincil anahtar kelimeyi ilk 100 kelime içinde doğal biçimde kullan.
    - Anahtar kelimeyi en az 3 başlıkta doğal ve dilbilgisel olarak kullan; keyword stuffing yapma.
    AÇILIŞ
    - H1: ChatGPT’de Marka Görünürlüğü Nasıl Ölçülür? 8 Adımlı Sistem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rehberler genellikle birkaç manuel sorgu öneriyor. Bu yazı prompt örneklemi, tekrar sayısı, tarih/model kaydı ve ağırlıklı KPI ile yeniden üretilebilir bir protokol vermeli.
    ZORUNLU ÖZGÜN KANIT / PROPRIETARY INFORMATION
    Türkiye pazarında bir kategori için 30 marka dışı promptu üç niyet seviyesine ayırın; aynı gün iki tekrar yaparak cevap değişkenliğini ve marka görünme oranını tabloya ekleyin.
    Bu çalışma yapılmadan yazıyı yayıma hazır sayma. Test tarihi, prompt sayısı, platformlar, dil/ülke ve yöntem açıkça belirtilsin. Veri üretilemezse sonuç uydurma; “test henüz yapılmadı” notu bırak.
    İÇERİK PLANI
    H2 — ChatGPT Marka Görünürlüğü Ölçmeden Önce Bilmeniz Gerekenler
Tek bir sohbetin temsil edici olmadığını; model, tarih, konum ve prompt formunun sonuçları etkileyebileceğini açıklayın.
H2 — ChatGPT Marka Görünürlüğü Ölçme Adımları
Öne çıkan 8 adımı numaralı kısa liste olarak verin.
H2 — 1. İş Hedefini ve Kategoriyi Tanımlayın
Keşif, karşılaştırma, satın alma ve destek amaçlarını ayırın.
H2 — 2. Marka Dışı Prompt Seti Oluşturun
En az 25-50 prompt; problem, kategori, karşılaştırma ve yerel niyet örnekleri verin.
H2 — 3. Rakip Setini Sabitleyin
3-5 doğrudan rakip ve kategori lideri seçin.
H2 — 4. Test Koşullarını Kaydedin
Tarih, model, dil, ülke, oturum durumu ve prompt metni.
H2 — 5. Mention, Öneri, Sıra ve Citation Verisini Toplayın
Her KPI için veri sözlüğü oluşturun.
H2 — 6. Sonuçları Ağırlıklandırın
Yüksek niyetli promptlara daha fazla ağırlık verin.
H2 — 7. Boşlukları İçerik, Teknik ve Otorite Olarak Sınıflandırın
Her boşluk için sahip, aksiyon ve son tarih belirleyin.
H2 — 8. Aynı Promptlarla Yeniden Ölçün
Değişiklik günlüğü ve aylık trend oluşturun.
H2 — Manuel Ölçüm mü, AI Görünürlük Aracı mı?
Zaman, tutarlılık, ölçek, arşiv ve raporlama açısından karşılaştırın; Rank Prompt’u yalnızca ilgili çözüm örneği olarak konumlandırın.
H2 — Sonuç
Tek seferlik test yerine sabit protokolün önemini özetleyin.
    SONUÇ
    - 100–150 kelime.
    - Yalnızca ana bulguları özetle; yeni bilgi veya yeni iddia ekleme.
    - CTA’yı tek paragrafta, doğal ve baskısız biçimde kullan.
    SSS
    3–7 soru kullan; aşağıdaki sorular long-tail hedefleridir ve mevcut H2’leri tekrar etmemelidir:
    - ChatGPT marka görünürlüğü ücretsiz nasıl ölçülür?
- ChatGPT aynı soruya neden farklı marka önerir?
- Kaç prompt ile güvenilir sonuç alınır?
- ChatGPT’de marka sırası nasıl kaydedilir?
- ChatGPT görünürlük takibi aylık mı yapılmalı?
    Her cevap 1–3 cümle olsun; soruyu cevabın içinde doğal biçimde tekrar et.
    İÇ LİNKLER
    - /ai-gorunurluk-skoru/ — “AI görünürlük skoru” anchor metni
- /rank-prompt-nedir/ — “otomatik ChatGPT görünürlük takibi” anchor metni
    Gelecek URL henüz yayımlanmadıysa linki kırık bırakma; içerik yayımlandıktan sonra eklenmek üzere editör notu koy.
    GÖRSEL ÖNERİLERİ
    - chatgpt-marka-gorunurlugu-kapak.webp | Alt: ChatGPT yanıtında marka görünürlüğü ölçümünü gösteren kapak
- chatgpt-prompt-seti.webp | Alt: Keşif karşılaştırma ve satın alma prompt seti örnekleri
- chatgpt-gorunurluk-tablosu.webp | Alt: Mention öneri sıra ve citation veri toplama tablosu
- chatgpt-olcum-is-akisi.webp | Alt: 8 adımlı ChatGPT marka görünürlüğü ölçüm akışı
    Kapak + en az 3 ek görsel kullan. Ekran görüntülerinde tarih ve veri kaynağı belirt; kişisel/müşteri verilerini maskele.
    KAYNAKLAR
    Öncelikle resmi ve birincil kaynakları kullan:
    - https://rankprompt.com/
- https://help.openai.com/en/articles/12627856-publishers-and-developers-faq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6" s="117" t="str">
        <x:f>IF('Programmatic_SEO_Template'!T6="","",'Programmatic_SEO_Template'!T6)</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7" ht="84" customHeight="1">
      <x:c r="A7" s="117" t="str">
        <x:f>IF('Programmatic_SEO_Template'!J7="","",'Programmatic_SEO_Template'!J7)</x:f>
        <x:v>LLM Görünürlük Takibi Nasıl Yapılır? Platformlar Arası Rehber</x:v>
      </x:c>
      <x:c r="B7" s="117" t="str">
        <x:f>IF('Programmatic_SEO_Template'!L7="","",'Programmatic_SEO_Template'!L7)</x:f>
        <x:v>LLM görünürlük takibi</x:v>
      </x:c>
      <x:c r="C7" s="117" t="str">
        <x:f>IF('Programmatic_SEO_Template'!M7="","",'Programmatic_SEO_Template'!M7)</x:f>
        <x:v>Bilgilendirici / ticari araştırma</x:v>
      </x:c>
      <x:c r="D7" s="117" t="str">
        <x:f>IF('Programmatic_SEO_Template'!O7="","",'Programmatic_SEO_Template'!O7)</x:f>
        <x:v>LLM Görünürlük Takibi Nasıl Yapılır?</x:v>
      </x:c>
      <x:c r="E7" s="117" t="str">
        <x:f>IF('Programmatic_SEO_Template'!Q7="","",'Programmatic_SEO_Template'!Q7)</x:f>
        <x:v>LLM görünürlük takibi nasıl yapılır, AI platformları arası marka görünürlüğü nasıl karşılaştırılır? Prompt setini kurun, KPI’ları ölçün, trendleri izleyin.</x:v>
      </x:c>
      <x:c r="F7" s="117" t="str">
        <x:f>IF('Programmatic_SEO_Template'!S7="","",'Programmatic_SEO_Template'!S7)</x:f>
        <x:v>TEMPLATE: Contact Studios How-To — ürün tie-in
    HEDEF UZUNLUK: 1.500–2.000 kelime; 2.500 kelimeyi geçme.
    OKUYUCU: SEO ve growth ekipleri, veri analistleri, ajanslar
    FUNNEL AŞAMASI: Değerlendirme
    ARAMA NİYETİ: Bilgilendirici / ticari araştırma
    TON: Profesyonel, anlaşılır, kanıta dayalı ve tarafsız. Reklam dili, abartı, “garantili görünürlük” ve doğrulanmamış üstünlük iddiaları kullanma.
    ANAHTAR KELİMELER
    - Birincil: LLM görünürlük takibi
    - İlgili/uzun kuyruklu: LLM marka takibi, AI visibility tracking, ChatGPT Gemini marka takibi, Perplexity görünürlük takibi, Claude marka görünürlüğü, Grok marka takibi, AI platform karşılaştırması, prompt monitoring, LLM citation tracking, AI mention tracking, multi-LLM tracking, AI visibility dashboard
    - Birincil anahtar kelimeyi ilk 100 kelime içinde doğal biçimde kullan.
    - Anahtar kelimeyi en az 3 başlıkta doğal ve dilbilgisel olarak kullan; keyword stuffing yapma.
    AÇILIŞ
    - H1: LLM Görünürlük Takibi Nasıl Yapılır? Platformlar Arası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içerik tek platforma odaklanıyor veya araç listesi veriyor. Bu yazı platformlar arası standardizasyon ve sonuçların neden doğrudan eşitlenemeyeceğini açıklamalı.
    ZORUNLU ÖZGÜN KANIT / PROPRIETARY INFORMATION
    Aynı 15 promptu altı platformda çalıştırın; marka var/yok, öneri sırası, kaynak linki ve cevap tutarlılığını platform bazında karşılaştıran özgün 6x15 matris yayınlayın.
    Bu çalışma yapılmadan yazıyı yayıma hazır sayma. Test tarihi, prompt sayısı, platformlar, dil/ülke ve yöntem açıkça belirtilsin. Veri üretilemezse sonuç uydurma; “test henüz yapılmadı” notu bırak.
    İÇERİK PLANI
    H2 — LLM Görünürlük Takibi Nedir?
Bir markanın farklı büyük dil modeli ve AI arama arayüzlerinde ne ölçüde temsil edildiğini düzenli izleme süreci olarak tanımlayın.
H2 — Neden Tek Bir AI Platformu Yeterli Değil?
Kapsam, kaynak kullanımı, kullanıcı kitlesi ve cevap formatı farklarını açıklayın.
H2 — Platformlar Arası Ölçüm Çerçevesi
ChatGPT, Perplexity, Google AI Mode, Claude, Gemini ve Grok için ortak ve platforma özgü metrikler.
H2 — 1. Evrensel Prompt Seti Kurun
Dil, niyet ve marka dışı sorgu dengesi.
H2 — 2. Platforma Özgü Test Koşullarını Kaydedin
Model/sürüm, arama özelliği, tarih, lokasyon, oturum.
H2 — 3. Ortak Veri Şeması Oluşturun
Mention, rank, citation URL, sentiment, answer accuracy, competitor.
H2 — 4. Platform Bazlı ve Birleşik Skor Hesaplayın
Basit formül ve ağırlıklandırma örneği.
H2 — 5. Değişkenliği Ölçün
Aynı promptu tekrar ederek cevap stabilitesini kaydedin.
H2 — 6. Trend ve Aksiyon Günlüğü Tutun
İçerik, schema, PR ve teknik değişiklikleri skor hareketleriyle eşleyin.
H2 — Araç Seçerken Nelere Bakılmalı?
Platform kapsamı, prompt arşivi, kaynak takibi, rakipler, export, API, ajans özellikleri ve fiyat şeffaflığı.
H2 — Sonuç
Çoklu platform takibinin tek skor değil karar sistemi olduğunu vurgulayın.
    SONUÇ
    - 100–150 kelime.
    - Yalnızca ana bulguları özetle; yeni bilgi veya yeni iddia ekleme.
    - CTA’yı tek paragrafta, doğal ve baskısız biçimde kullan.
    SSS
    3–7 soru kullan; aşağıdaki sorular long-tail hedefleridir ve mevcut H2’leri tekrar etmemelidir:
    - LLM görünürlük takibi için kaç platform yeterli?
- ChatGPT ve Perplexity sonuçları neden farklıdır?
- LLM görünürlüğü her gün ölçülmeli mi?
- AI platformları arası ortak skor oluşturulabilir mi?
- LLM marka takibi manuel yapılabilir mi?
    Her cevap 1–3 cümle olsun; soruyu cevabın içinde doğal biçimde tekrar et.
    İÇ LİNKLER
    - /chatgpt-marka-gorunurlugu-olcme/ — “ChatGPT marka görünürlüğü ölçme”
- /ai-gorunurluk-skoru/ — “AI görünürlük skoru”
    Gelecek URL henüz yayımlanmadıysa linki kırık bırakma; içerik yayımlandıktan sonra eklenmek üzere editör notu koy.
    GÖRSEL ÖNERİLERİ
    - llm-gorunurluk-takibi-kapak.webp | Alt: Farklı AI platformlarında marka görünürlüğünü gösteren kapak
- multi-llm-karsilastirma-matrisi.webp | Alt: Altı AI platformu için görünürlük karşılaştırma matrisi
- llm-veri-semasi.webp | Alt: Mention rank citation ve sentiment veri şeması
- llm-trend-dashboard.webp | Alt: Platform bazlı AI görünürlük trend dashboard örneği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7" s="117" t="str">
        <x:f>IF('Programmatic_SEO_Template'!T7="","",'Programmatic_SEO_Template'!T7)</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8" ht="84" customHeight="1">
      <x:c r="A8" s="117" t="str">
        <x:f>IF('Programmatic_SEO_Template'!J8="","",'Programmatic_SEO_Template'!J8)</x:f>
        <x:v>AI Aramada Rakip Analizi Nasıl Yapılır? Prompt Bazlı Yöntem</x:v>
      </x:c>
      <x:c r="B8" s="117" t="str">
        <x:f>IF('Programmatic_SEO_Template'!L8="","",'Programmatic_SEO_Template'!L8)</x:f>
        <x:v>AI arama rakip analizi</x:v>
      </x:c>
      <x:c r="C8" s="117" t="str">
        <x:f>IF('Programmatic_SEO_Template'!M8="","",'Programmatic_SEO_Template'!M8)</x:f>
        <x:v>Bilgilendirici / ticari araştırma</x:v>
      </x:c>
      <x:c r="D8" s="117" t="str">
        <x:f>IF('Programmatic_SEO_Template'!O8="","",'Programmatic_SEO_Template'!O8)</x:f>
        <x:v>AI Aramada Rakip Analizi Nasıl Yapılır?</x:v>
      </x:c>
      <x:c r="E8" s="117" t="str">
        <x:f>IF('Programmatic_SEO_Template'!Q8="","",'Programmatic_SEO_Template'!Q8)</x:f>
        <x:v>AI arama rakip analizi nasıl yapılır ve ChatGPT rakip görünürlüğü hangi promptlarla ölçülür? Boşlukları bulun, önceliklendirin ve aksiyon planı çıkarın.</x:v>
      </x:c>
      <x:c r="F8" s="117" t="str">
        <x:f>IF('Programmatic_SEO_Template'!S8="","",'Programmatic_SEO_Template'!S8)</x:f>
        <x:v>TEMPLATE: Contact Studios How-To — ürün tie-in
    HEDEF UZUNLUK: 1.500–2.000 kelime; 2.500 kelimeyi geçme.
    OKUYUCU: SEO liderleri, kategori yöneticileri, ajans stratejistleri
    FUNNEL AŞAMASI: Değerlendirme
    ARAMA NİYETİ: Bilgilendirici / ticari araştırma
    TON: Profesyonel, anlaşılır, kanıta dayalı ve tarafsız. Reklam dili, abartı, “garantili görünürlük” ve doğrulanmamış üstünlük iddiaları kullanma.
    ANAHTAR KELİMELER
    - Birincil: AI arama rakip analizi
    - İlgili/uzun kuyruklu: ChatGPT rakip analizi, AI competitor analysis, LLM rakip takibi, AI share of voice, rakip mention analizi, AI citation gap, prompt gap analizi, GEO rakip analizi, AI search market share, rakip kaynak analizi, AI recommendation tracking, LLM benchmarking
    - Birincil anahtar kelimeyi ilk 100 kelime içinde doğal biçimde kullan.
    - Anahtar kelimeyi en az 3 başlıkta doğal ve dilbilgisel olarak kullan; keyword stuffing yapma.
    AÇILIŞ
    - H1: AI Aramada Rakip Analizi Nasıl Yapılır? Prompt Bazlı Yöntem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Araç listeleri görünürlüğü sayıyor ancak rakibin neden önerildiğini ayrıştırmıyor. Yazı içerik, entity, üçüncü taraf kaynak ve ürün kanıtı olmak üzere dört neden kategorisi sunmalı.
    ZORUNLU ÖZGÜN KANIT / PROPRIETARY INFORMATION
    Üç rakip için 40 promptta 'hangi marka, hangi gerekçeyle, hangi kaynakla önerildi?' kodlaması yapın; en sık tekrar eden 5 rakip kanıt türünü özgün tablo halinde yayınlayın.
    Bu çalışma yapılmadan yazıyı yayıma hazır sayma. Test tarihi, prompt sayısı, platformlar, dil/ülke ve yöntem açıkça belirtilsin. Veri üretilemezse sonuç uydurma; “test henüz yapılmadı” notu bırak.
    İÇERİK PLANI
    H2 — AI Arama Rakip Analizi Nedir?
Rakiplerin AI yanıtlarında hangi promptlarda, hangi konumda ve hangi kanıtlarla önerildiğini inceleme süreci olarak tanımlayın.
H2 — Klasik Rakip Analizinden Farkı
Keyword/URL sıralaması yerine answer-level mention, citation ve gerekçe analizi.
H2 — 1. Doğru Rakip Setini Kurun
Doğrudan rakip, kategori lideri, yerel oyuncu ve AI tarafından sık önerilen sürpriz rakip.
H2 — 2. Satın Alma Yolculuğuna Göre Prompt Haritası Oluşturun
Problem, kategori, karşılaştırma, fiyat, alternatif ve yerel prompt örnekleri.
H2 — 3. Görünürlük ve Share of Voice Ölçün
Platform ve niyet bazlı tablo.
H2 — 4. Citation ve Kaynak Boşluğunu Analiz Edin
Rakiplerin tekrar eden kaynaklarını, erişilebilirlik ve otorite açısından sınıflandırın.
H2 — 5. Rakibin Önerilme Gerekçesini Kodlayın
Fiyat, özellik, güven, inceleme, dağıtım, yerellik, uzmanlık gibi nedenler.
H2 — 6. Boşlukları Etki ve Eforla Önceliklendirin
Hızlı kazanım, orta vadeli içerik, uzun vadeli PR/otorite matrisi.
H2 — 7. Yeniden Tarama ile Etkiyi Ölçün
Aynı prompt seti ve değişiklik günlüğü kullanın.
H2 — Rank Prompt ile Rakip Görünürlüğü Nasıl İzlenir?
Ürünü bir örnek olarak tarafsızca gösterin; rakip ranking, prompt-level gaps ve citation kaynaklarının nasıl okunacağını anlatın.
H2 — Sonuç
Rakip mention sayısından çok 'neden' ve 'hangi prompt' sorularını özetleyin.
    SONUÇ
    - 100–150 kelime.
    - Yalnızca ana bulguları özetle; yeni bilgi veya yeni iddia ekleme.
    - CTA’yı tek paragrafta, doğal ve baskısız biçimde kullan.
    SSS
    3–7 soru kullan; aşağıdaki sorular long-tail hedefleridir ve mevcut H2’leri tekrar etmemelidir:
    - AI arama rakipleri nasıl belirlenir?
- ChatGPT’de en çok önerilen rakip nasıl bulunur?
- AI share of voice ne demektir?
- Rakip citation kaynakları nasıl analiz edilir?
- AI rakip analizi ne sıklıkla yenilenmeli?
    Her cevap 1–3 cümle olsun; soruyu cevabın içinde doğal biçimde tekrar et.
    İÇ LİNKLER
    - /llm-gorunurluk-takibi/ — “LLM görünürlük takibi”
- /rank-prompt-nedir/ — “AI rakip analizi aracı”
    Gelecek URL henüz yayımlanmadıysa linki kırık bırakma; içerik yayımlandıktan sonra eklenmek üzere editör notu koy.
    GÖRSEL ÖNERİLERİ
    - ai-arama-rakip-analizi-kapak.webp | Alt: AI yanıtlarında rakip marka karşılaştırmasını gösteren kapak
- prompt-rakip-haritasi.webp | Alt: Satın alma yolculuğuna göre rakip prompt haritası
- ai-citation-gap.webp | Alt: Rakip kaynak ve citation boşluğu analizi
- etki-efor-matrisi.webp | Alt: AI görünürlük aksiyonları için etki efor matrisi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8" s="117" t="str">
        <x:f>IF('Programmatic_SEO_Template'!T8="","",'Programmatic_SEO_Template'!T8)</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9" ht="84" customHeight="1">
      <x:c r="A9" s="117" t="str">
        <x:f>IF('Programmatic_SEO_Template'!J9="","",'Programmatic_SEO_Template'!J9)</x:f>
        <x:v>AI Görünürlük Raporu Nasıl Hazırlanır? Şablon ve KPI’lar</x:v>
      </x:c>
      <x:c r="B9" s="117" t="str">
        <x:f>IF('Programmatic_SEO_Template'!L9="","",'Programmatic_SEO_Template'!L9)</x:f>
        <x:v>AI görünürlük raporu</x:v>
      </x:c>
      <x:c r="C9" s="117" t="str">
        <x:f>IF('Programmatic_SEO_Template'!M9="","",'Programmatic_SEO_Template'!M9)</x:f>
        <x:v>Bilgilendirici</x:v>
      </x:c>
      <x:c r="D9" s="117" t="str">
        <x:f>IF('Programmatic_SEO_Template'!O9="","",'Programmatic_SEO_Template'!O9)</x:f>
        <x:v>AI Görünürlük Raporu Nasıl Hazırlanır?</x:v>
      </x:c>
      <x:c r="E9" s="117" t="str">
        <x:f>IF('Programmatic_SEO_Template'!Q9="","",'Programmatic_SEO_Template'!Q9)</x:f>
        <x:v>AI görünürlük raporu nasıl hazırlanır, ChatGPT görünürlük KPI’ları ve AI share of voice nasıl sunulur? Şablonu uygulayın, aksiyon odaklı rapor oluşturun.</x:v>
      </x:c>
      <x:c r="F9" s="117" t="str">
        <x:f>IF('Programmatic_SEO_Template'!S9="","",'Programmatic_SEO_Template'!S9)</x:f>
        <x:v>TEMPLATE: Contact Studios How-To — ürün tie-in
    HEDEF UZUNLUK: 1.500–2.000 kelime; 2.500 kelimeyi geçme.
    OKUYUCU: Ajans hesap yöneticileri, CMO’lar, SEO raporlama ekipleri
    FUNNEL AŞAMASI: Değerlendirme
    ARAMA NİYETİ: Bilgilendirici
    TON: Profesyonel, anlaşılır, kanıta dayalı ve tarafsız. Reklam dili, abartı, “garantili görünürlük” ve doğrulanmamış üstünlük iddiaları kullanma.
    ANAHTAR KELİMELER
    - Birincil: AI görünürlük raporu
    - İlgili/uzun kuyruklu: ChatGPT görünürlük raporu, AI visibility report, GEO raporu, LLM raporlama, AI share of voice raporu, AI citation report, AI rakip raporu, prompt performance report, AI visibility dashboard, ajans AI raporu, AI KPI şablonu, marka görünürlük raporu
    - Birincil anahtar kelimeyi ilk 100 kelime içinde doğal biçimde kullan.
    - Anahtar kelimeyi en az 3 başlıkta doğal ve dilbilgisel olarak kullan; keyword stuffing yapma.
    AÇILIŞ
    - H1: AI Görünürlük Raporu Nasıl Hazırlanır? Şablon ve KPI’lar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metrikleri anlatıyor fakat karar vericinin okuyabileceği rapor yapısı vermiyor. Yazı KPI + değişiklik günlüğü + aksiyon sahibi + son tarih içermeli.
    ZORUNLU ÖZGÜN KANIT / PROPRIETARY INFORMATION
    İndirilebilir olmadan da yazı içinde kopyalanabilir 1 sayfalık yönetici özeti ve 12 sütunlu veri sözlüğü verin; örnek raporu gerçek 20 promptluk mini taramayla doldurun.
    Bu çalışma yapılmadan yazıyı yayıma hazır sayma. Test tarihi, prompt sayısı, platformlar, dil/ülke ve yöntem açıkça belirtilsin. Veri üretilemezse sonuç uydurma; “test henüz yapılmadı” notu bırak.
    İÇERİK PLANI
    H2 — İyi Bir AI Görünürlük Raporu Ne Cevaplamalı?
Neredeyiz, rakipler nerede, neden, ne değişti, sıradaki aksiyon ne ve başarı nasıl ölçülecek sorularını listeleyin.
H2 — AI Görünürlük Raporu Bölümleri
Yönetici özeti, kapsam/metodoloji, KPI, prompt detayları, citation kaynakları, rakipler, bulgular, aksiyon planı.
H2 — 1. Kapsam ve Metodolojiyi Yazın
Platform, tarih, ülke, dil, model, prompt sayısı ve tekrar sayısı.
H2 — 2. Ana KPI’ları Seçin
Mention rate, recommendation rate, citation rate, weighted visibility, share of voice, sentiment/accuracy.
H2 — 3. Prompt Bazlı Sonuçları Gösterin
Yüksek niyetli kaçırılan promptları üstte sıralayın.
H2 — 4. Citation ve Kaynakları Sınıflandırın
Sahip olunan, kazanılan ve üçüncü taraf kaynaklar.
H2 — 5. Rakip Karşılaştırmasını Görselleştirin
Platform ve funnel aşaması bazlı grafikler.
H2 — 6. Bulguları Aksiyona Çevirin
Aksiyon, sahip, tahmini etki, efor, son tarih, yeniden test tarihi.
H2 — 7. Yönetici Özetini Bir Sayfada Tutun
En önemli üç içgörü ve üç öncelik.
H2 — Raporlama Hataları
Yöntemi saklama, küçük örneklem, vanity score, değişiklik günlüğü tutmama, garanti iddiası.
H2 — Sonuç
Raporun dashboard değil karar aracı olduğunu özetleyin.
    SONUÇ
    - 100–150 kelime.
    - Yalnızca ana bulguları özetle; yeni bilgi veya yeni iddia ekleme.
    - CTA’yı tek paragrafta, doğal ve baskısız biçimde kullan.
    SSS
    3–7 soru kullan; aşağıdaki sorular long-tail hedefleridir ve mevcut H2’leri tekrar etmemelidir:
    - AI görünürlük raporunda hangi KPI’lar olmalı?
- ChatGPT görünürlük raporu müşteriye nasıl sunulur?
- AI görünürlük raporu kaç prompt içermeli?
- AI share of voice raporda nasıl gösterilir?
- AI görünürlük raporu aylık mı hazırlanmalı?
    Her cevap 1–3 cümle olsun; soruyu cevabın içinde doğal biçimde tekrar et.
    İÇ LİNKLER
    - /ai-gorunurluk-skoru/ — “AI görünürlük skoru”
- /ai-arama-rakip-analizi/ — “AI rakip analizi”
    Gelecek URL henüz yayımlanmadıysa linki kırık bırakma; içerik yayımlandıktan sonra eklenmek üzere editör notu koy.
    GÖRSEL ÖNERİLERİ
    - ai-gorunurluk-raporu-kapak.webp | Alt: AI görünürlük raporu ve KPI dashboard kapak görseli
- ai-rapor-yonetici-ozeti.webp | Alt: Tek sayfalık AI görünürlük yönetici özeti
- ai-kpi-veri-sozlugu.webp | Alt: AI görünürlük KPI veri sözlüğü tablosu
- ai-aksiyon-plani.webp | Alt: Sahip tarih etki ve efor içeren aksiyon planı
    Kapak + en az 3 ek görsel kullan. Ekran görüntülerinde tarih ve veri kaynağı belirt; kişisel/müşteri verilerini maskele.
    KAYNAKLAR
    Öncelikle resmi ve birincil kaynakları kullan:
    - https://rankprompt.com/
- https://rankprompt.com/developers/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9" s="117" t="str">
        <x:f>IF('Programmatic_SEO_Template'!T9="","",'Programmatic_SEO_Template'!T9)</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0" ht="84" customHeight="1">
      <x:c r="A10" s="117" t="str">
        <x:f>IF('Programmatic_SEO_Template'!J10="","",'Programmatic_SEO_Template'!J10)</x:f>
        <x:v>ChatGPT Markanızı Neden Önermiyor? 9 Olası Neden ve Çözüm</x:v>
      </x:c>
      <x:c r="B10" s="117" t="str">
        <x:f>IF('Programmatic_SEO_Template'!L10="","",'Programmatic_SEO_Template'!L10)</x:f>
        <x:v>ChatGPT markamı neden önermiyor</x:v>
      </x:c>
      <x:c r="C10" s="117" t="str">
        <x:f>IF('Programmatic_SEO_Template'!M10="","",'Programmatic_SEO_Template'!M10)</x:f>
        <x:v>Bilgilendirici / problem çözme</x:v>
      </x:c>
      <x:c r="D10" s="117" t="str">
        <x:f>IF('Programmatic_SEO_Template'!O10="","",'Programmatic_SEO_Template'!O10)</x:f>
        <x:v>ChatGPT Markanızı Neden Önermiyor?</x:v>
      </x:c>
      <x:c r="E10" s="117" t="str">
        <x:f>IF('Programmatic_SEO_Template'!Q10="","",'Programmatic_SEO_Template'!Q10)</x:f>
        <x:v>ChatGPT markamı neden önermiyor diyorsanız 9 olası nedeni kontrol edin. AI citation eksikliği, içerik ve teknik sorunları bulun; düzeltme planını uygulayın.</x:v>
      </x:c>
      <x:c r="F10" s="117" t="str">
        <x:f>IF('Programmatic_SEO_Template'!S10="","",'Programmatic_SEO_Template'!S10)</x:f>
        <x:v>TEMPLATE: HubSpot List Post
    HEDEF UZUNLUK: 1.500–2.000 kelime; 2.500 kelimeyi geçme.
    OKUYUCU: Kurucular, marka ve içerik ekipleri, SEO uzmanları
    FUNNEL AŞAMASI: Farkındalık
    ARAMA NİYETİ: Bilgilendirici / problem çözme
    TON: Profesyonel, anlaşılır, kanıta dayalı ve tarafsız. Reklam dili, abartı, “garantili görünürlük” ve doğrulanmamış üstünlük iddiaları kullanma.
    ANAHTAR KELİMELER
    - Birincil: ChatGPT markamı neden önermiyor
    - İlgili/uzun kuyruklu: ChatGPT markamı göstermiyor, ChatGPT markamı bilmiyor, ChatGPT marka önerisi, AI marka görünmezliği, ChatGPT citation eksikliği, AI crawler engeli, marka entity sinyalleri, ChatGPT yanlış bilgi, GEO sorunları, AI görünürlük düşüklüğü, LLM marka algısı, ChatGPT önerilme
    - Birincil anahtar kelimeyi ilk 100 kelime içinde doğal biçimde kullan.
    - Anahtar kelimeyi en az 3 başlıkta doğal ve dilbilgisel olarak kullan; keyword stuffing yapma.
    AÇILIŞ
    - H1: ChatGPT Markanızı Neden Önermiyor? 9 Olası Neden ve Çözüm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Mevcut içerikler genellikle 'daha çok içerik yazın' diyor. Bu yazı teknik erişim, entity tutarlılığı, kategori kanıtı, üçüncü taraf kaynak ve prompt uyumsuzluğunu ayrı teşhis etmeli.
    ZORUNLU ÖZGÜN KANIT / PROPRIETARY INFORMATION
    Dokuz neden için bir tanı ağacı hazırlayın ve gerçek bir siteyi robots, entity bilgisi, içerik kapsamı, üçüncü taraf mention ve 20 prompt baseline üzerinden anonimleştirerek test edin.
    Bu çalışma yapılmadan yazıyı yayıma hazır sayma. Test tarihi, prompt sayısı, platformlar, dil/ülke ve yöntem açıkça belirtilsin. Veri üretilemezse sonuç uydurma; “test henüz yapılmadı” notu bırak.
    İÇERİK PLANI
    H2 — ChatGPT’nin Marka Önermemesi Tek Bir Nedene Bağlı Değildir
İlk cümlede soruyu yanıtlayın; görünmezliğin veri, erişim, otorite, içerik ve prompt kapsamından kaynaklanabileceğini söyleyin.
H2 — 1. Marka Kategoriyle Açık Şekilde İlişkilendirilmiyor
Ana sayfa ve ürün sayfalarında kategori, hedef kitle ve değer önerisi netliği.
H2 — 2. OAI-SearchBot İçeriğe Erişemiyor
robots.txt, noindex ve erişim kontrolleri.
H2 — 3. İçerik Satın Alma Sorularını Yanıtlamıyor
Problem, alternatif, use-case, karşılaştırma ve fiyat bağlamı.
H2 — 4. Üçüncü Taraf Kaynaklarda Yeterli Kanıt Yok
İnceleme, medya, dizin, uzman kaynak ve gerçek mention.
H2 — 5. Marka Bilgileri Tutarsız
İsim, URL, ürün tanımı, konum ve fiyat bilgisinin web genelinde tutarlılığı.
H2 — 6. İçerik Özgün Kanıt Sunmuyor
Veri, vaka, ekran görüntüsü, uzman görüşü ve birinci el deneyim.
H2 — 7. Teknik SEO ve İndekslenme Sorunları Var
Crawl, render, canonical, snippet eligibility ve site performansı.
H2 — 8. Yanlış Promptlarla Test Ediyorsunuz
Marka içeren sorgular, çok dar/çok geniş promptlar ve düşük niyet.
H2 — 9. AI Yanıtları Değişken ve Zamana Bağlı
Tek testle karar vermeme, tekrar ve trend izleme.
H2 — 90 Dakikalık Tanı Kontrol Listesi
Teknik, içerik, entity, kaynak ve ölçüm adımları.
H2 — Sonuç
Garantili önerilme olmadığını; ölçüm ve kanıt geliştirme döngüsünü özetleyin.
    SONUÇ
    - 100–150 kelime.
    - Yalnızca ana bulguları özetle; yeni bilgi veya yeni iddia ekleme.
    - CTA’yı tek paragrafta, doğal ve baskısız biçimde kullan.
    SSS
    3–7 soru kullan; aşağıdaki sorular long-tail hedefleridir ve mevcut H2’leri tekrar etmemelidir:
    - ChatGPT’ye markamı nasıl tanıtabilirim?
- OAI-SearchBot engellenirse ne olur?
- ChatGPT yanlış marka bilgisi verirse ne yapılır?
- Marka mention sayısı nasıl artırılır?
- ChatGPT markayı ne kadar sürede görür?
    Her cevap 1–3 cümle olsun; soruyu cevabın içinde doğal biçimde tekrar et.
    İÇ LİNKLER
    - /chatgpt-marka-gorunurlugu-olcme/ — “ChatGPT marka görünürlüğünü ölçme”
- /oai-searchbot-gptbot-robots-txt/ — “OAI-SearchBot robots.txt ayarı”
    Gelecek URL henüz yayımlanmadıysa linki kırık bırakma; içerik yayımlandıktan sonra eklenmek üzere editör notu koy.
    GÖRSEL ÖNERİLERİ
    - chatgpt-markami-onermiyor-kapak.webp | Alt: ChatGPT yanıtında görünmeyen bir markayı gösteren kapak
- chatgpt-gorunmezlik-tani-agaci.webp | Alt: ChatGPT marka görünmezliği tanı ağacı
- robots-ai-crawler-kontrolu.webp | Alt: AI crawler robots.txt kontrol örneği
- 90-dakika-ai-audit.webp | Alt: 90 dakikalık AI görünürlük tanı kontrol listesi
    Kapak + en az 3 ek görsel kullan. Ekran görüntülerinde tarih ve veri kaynağı belirt; kişisel/müşteri verilerini maskele.
    KAYNAKLAR
    Öncelikle resmi ve birincil kaynakları kullan:
    - https://help.openai.com/en/articles/12627856-publishers-and-developers-faq
- https://developers.google.com/search/docs/appearance/ai-features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0" s="117" t="str">
        <x:f>IF('Programmatic_SEO_Template'!T10="","",'Programmatic_SEO_Template'!T10)</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1" ht="84" customHeight="1">
      <x:c r="A11" s="117" t="str">
        <x:f>IF('Programmatic_SEO_Template'!J11="","",'Programmatic_SEO_Template'!J11)</x:f>
        <x:v>AI Arama İçin İçerik Nasıl Optimize Edilir? 10 Adımlı Rehber</x:v>
      </x:c>
      <x:c r="B11" s="117" t="str">
        <x:f>IF('Programmatic_SEO_Template'!L11="","",'Programmatic_SEO_Template'!L11)</x:f>
        <x:v>AI arama için içerik optimizasyonu</x:v>
      </x:c>
      <x:c r="C11" s="117" t="str">
        <x:f>IF('Programmatic_SEO_Template'!M11="","",'Programmatic_SEO_Template'!M11)</x:f>
        <x:v>Bilgilendirici</x:v>
      </x:c>
      <x:c r="D11" s="117" t="str">
        <x:f>IF('Programmatic_SEO_Template'!O11="","",'Programmatic_SEO_Template'!O11)</x:f>
        <x:v>AI Arama İçin İçerik Optimizasyonu</x:v>
      </x:c>
      <x:c r="E11" s="117" t="str">
        <x:f>IF('Programmatic_SEO_Template'!Q11="","",'Programmatic_SEO_Template'!Q11)</x:f>
        <x:v>AI arama için içerik optimizasyonu nasıl yapılır ve ChatGPT’ye uygun içerik nasıl yazılır? 10 adımı uygulayın, ölçülebilir bir görünürlük testi yapın.</x:v>
      </x:c>
      <x:c r="F11" s="117" t="str">
        <x:f>IF('Programmatic_SEO_Template'!S11="","",'Programmatic_SEO_Template'!S11)</x:f>
        <x:v>TEMPLATE: Contact Studios How-To — ürün tie-in
    HEDEF UZUNLUK: 1.500–2.000 kelime; 2.500 kelimeyi geçme.
    OKUYUCU: İçerik ekipleri, SEO editörleri, SaaS pazarlamacıları
    FUNNEL AŞAMASI: Farkındalık
    ARAMA NİYETİ: Bilgilendirici
    TON: Profesyonel, anlaşılır, kanıta dayalı ve tarafsız. Reklam dili, abartı, “garantili görünürlük” ve doğrulanmamış üstünlük iddiaları kullanma.
    ANAHTAR KELİMELER
    - Birincil: AI arama için içerik optimizasyonu
    - İlgili/uzun kuyruklu: ChatGPT için içerik optimizasyonu, GEO içerik stratejisi, AEO içerik optimizasyonu, AI dostu içerik, LLM citation content, AI search content, AI cevaplarına uygun içerik, people-first content, özgün veri SEO, entity odaklı içerik, AI content audit, generative search optimization
    - Birincil anahtar kelimeyi ilk 100 kelime içinde doğal biçimde kullan.
    - Anahtar kelimeyi en az 3 başlıkta doğal ve dilbilgisel olarak kullan; keyword stuffing yapma.
    AÇILIŞ
    - H1: AI Arama İçin İçerik Nasıl Optimize Edilir? 10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rehberler kısa cevap ve FAQ’yu aşırı vurguluyor. Google’ın resmi rehberine uygun biçimde özgün, people-first içerik, teknik erişilebilirlik ve ölçüm döngüsünü merkeze alın.
    ZORUNLU ÖZGÜN KANIT / PROPRIETARY INFORMATION
    Ortak Alan’daki mevcut bir yazıyı önce/sonra formatında yeniden düzenleyin; ilk 20 prompt baseline’ı, yapılan değişiklikleri ve 30 gün sonraki yeniden taramayı yayınlayın. Sonuç çıkmazsa bunu da açıkça yazın.
    Bu çalışma yapılmadan yazıyı yayıma hazır sayma. Test tarihi, prompt sayısı, platformlar, dil/ülke ve yöntem açıkça belirtilsin. Veri üretilemezse sonuç uydurma; “test henüz yapılmadı” notu bırak.
    İÇERİK PLANI
    H2 — AI Arama İçin İçerik Optimizasyonu Ne Değildir?
Keyword stuffing, yapay 'AI dili', gereksiz sayfa çoğaltma, sadece llms.txt ve schema ile sonuç bekleme gibi mitleri çürütün.
H2 — AI Arama İçin İçerik Optimizasyonu Adımları
10 adımı featured snippet için kısa listeleyin.
H2 — 1. Gerçek Kullanıcı Problemini Seçin
İş hedefi, arama niyeti ve prompt niyeti eşleştirmesi.
H2 — 2. Rakiplerin Cevaplamadığı Soruyu Bulun
SERP + AI yanıtı gap analizi.
H2 — 3. En Önemli Cevabı Bölümün İlk Cümlesinde Verin
AI extraction ve okuyucu deneyimi için net açılış.
H2 — 4. Birinci El Kanıt Ekleyin
Özgün veri, ekran görüntüsü, uzman görüşü, test veya vaka.
H2 — 5. Entity ve Bağlamı Netleştirin
Kim, ne, kimin için, hangi problemi çözüyor, sınırlamalar.
H2 — 6. İçeriği Mantıklı Başlıklarla Yapılandırın
H2/H3, tablo, adımlar ve kısa paragraflar.
H2 — 7. Kaynakları ve Tarihleri Açıkça Belirtin
Birincil kaynak, güncelleme tarihi ve iddia kontrolü.
H2 — 8. Teknik Erişilebilirliği Sağlayın
İndekslenme, snippet eligibility, render ve crawler erişimi.
H2 — 9. İç Bağlantı ve Konu Kümesi Kurun
Pillar/cluster yapısı ve descriptive anchor.
H2 — 10. Prompt Bazlı Ölçün ve Güncelleyin
Baseline, değişiklik günlüğü ve yeniden tarama.
H2 — Rank Prompt Bu Süreçte Nerede Kullanılır?
Sadece ölçüm, boşluk analizi ve trend izleme bağlamında yumuşak ürün tie-in.
H2 — Sonuç
İçeriği AI için değil kullanıcı için değerli hale getirmenin temel olduğunu özetleyin.
    SONUÇ
    - 100–150 kelime.
    - Yalnızca ana bulguları özetle; yeni bilgi veya yeni iddia ekleme.
    - CTA’yı tek paragrafta, doğal ve baskısız biçimde kullan.
    SSS
    3–7 soru kullan; aşağıdaki sorular long-tail hedefleridir ve mevcut H2’leri tekrar etmemelidir:
    - ChatGPT’ye uygun içerik formatı nedir?
- FAQ bölümü AI görünürlüğünü artırır mı?
- llms.txt AI arama için gerekli mi?
- AI içerik optimizasyonunda kaç kelime yeterli?
- AI ile üretilen içerik Google’da sıralanır mı?
    Her cevap 1–3 cümle olsun; soruyu cevabın içinde doğal biçimde tekrar et.
    İÇ LİNKLER
    - /aeo-geo-seo-farki/ — “GEO ve SEO farkı”
- /llm-gorunurluk-takibi/ — “prompt bazlı görünürlük takibi”
    Gelecek URL henüz yayımlanmadıysa linki kırık bırakma; içerik yayımlandıktan sonra eklenmek üzere editör notu koy.
    GÖRSEL ÖNERİLERİ
    - ai-arama-icerik-optimizasyonu-kapak.webp | Alt: AI arama için içerik optimizasyonu sürecini gösteren kapak
- ai-icerik-once-sonra.webp | Alt: AI görünürlük için içerik önce ve sonra karşılaştırması
- people-first-content-checklist.webp | Alt: People-first ve özgün içerik kontrol listesi
- prompt-bazli-olcum.webp | Alt: İçerik değişikliği sonrası prompt bazlı ölçüm grafiği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https://developers.google.com/search/docs/fundamentals/using-gen-ai-content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1" s="117" t="str">
        <x:f>IF('Programmatic_SEO_Template'!T11="","",'Programmatic_SEO_Template'!T11)</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2" ht="84" customHeight="1">
      <x:c r="A12" s="117" t="str">
        <x:f>IF('Programmatic_SEO_Template'!J12="","",'Programmatic_SEO_Template'!J12)</x:f>
        <x:v>Yapay Zeka Yanıtlarında Kaynak Gösterilmek İçin 10 Taktik</x:v>
      </x:c>
      <x:c r="B12" s="117" t="str">
        <x:f>IF('Programmatic_SEO_Template'!L12="","",'Programmatic_SEO_Template'!L12)</x:f>
        <x:v>yapay zeka yanıtlarında kaynak gösterilmek</x:v>
      </x:c>
      <x:c r="C12" s="117" t="str">
        <x:f>IF('Programmatic_SEO_Template'!M12="","",'Programmatic_SEO_Template'!M12)</x:f>
        <x:v>Bilgilendirici</x:v>
      </x:c>
      <x:c r="D12" s="117" t="str">
        <x:f>IF('Programmatic_SEO_Template'!O12="","",'Programmatic_SEO_Template'!O12)</x:f>
        <x:v>AI Yanıtlarında Kaynak Gösterilme Taktikleri</x:v>
      </x:c>
      <x:c r="E12" s="117" t="str">
        <x:f>IF('Programmatic_SEO_Template'!Q12="","",'Programmatic_SEO_Template'!Q12)</x:f>
        <x:v>Yapay zeka yanıtlarında kaynak gösterilmek için hangi içerik ve otorite sinyalleri gerekir? 10 etik taktiği uygulayın, AI citation takibine bugün başlayın.</x:v>
      </x:c>
      <x:c r="F12" s="117" t="str">
        <x:f>IF('Programmatic_SEO_Template'!S12="","",'Programmatic_SEO_Template'!S12)</x:f>
        <x:v>TEMPLATE: HubSpot List Post
    HEDEF UZUNLUK: 1.500–2.000 kelime; 2.500 kelimeyi geçme.
    OKUYUCU: PR, içerik, SEO ve marka iletişimi ekipleri
    FUNNEL AŞAMASI: Farkındalık
    ARAMA NİYETİ: Bilgilendirici
    TON: Profesyonel, anlaşılır, kanıta dayalı ve tarafsız. Reklam dili, abartı, “garantili görünürlük” ve doğrulanmamış üstünlük iddiaları kullanma.
    ANAHTAR KELİMELER
    - Birincil: yapay zeka yanıtlarında kaynak gösterilmek
    - İlgili/uzun kuyruklu: AI citation nasıl alınır, ChatGPT kaynak gösterme, Perplexity citation, AI kaynak görünürlüğü, LLM citation tracking, AI referansları, GEO citation strategy, otoriter kaynak oluşturma, özgün veri içeriği, AI citation outreach, ChatGPT link görünürlüğü, AI search citations
    - Birincil anahtar kelimeyi ilk 100 kelime içinde doğal biçimde kullan.
    - Anahtar kelimeyi en az 3 başlıkta doğal ve dilbilgisel olarak kullan; keyword stuffing yapma.
    AÇILIŞ
    - H1: Yapay Zeka Yanıtlarında Kaynak Gösterilmek İçin 10 Taktik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yazı backlink tavsiyesi veriyor ama AI yanıtında mention ile citation’ı ayırmıyor. Yazı erişilebilir, kanıtlanabilir ve etik citation kazanma sürecini göstermeli.
    ZORUNLU ÖZGÜN KANIT / PROPRIETARY INFORMATION
    Bir sektörde 100 citation URL’sini örnekleyip kaynak türü, içerik formatı, güncellik, özgün veri ve domain türüne göre kodlayın; en sık görülen desenleri tabloya ekleyin.
    Bu çalışma yapılmadan yazıyı yayıma hazır sayma. Test tarihi, prompt sayısı, platformlar, dil/ülke ve yöntem açıkça belirtilsin. Veri üretilemezse sonuç uydurma; “test henüz yapılmadı” notu bırak.
    İÇERİK PLANI
    H2 — AI Citation Nedir?
AI yanıtındaki kaynak linki ile marka mention’ını ayırın; citation’ın platforma göre farklı görünebileceğini açıklayın.
H2 — 1. Özgün Veri ve Araştırma Yayınlayın
Metodoloji, örneklem, tarih ve ham bulgu şeffaflığı.
H2 — 2. Doğrudan Alıntılanabilir Tanımlar Yazın
Net fakat bağlamı koruyan tanım blokları.
H2 — 3. Güncel ve Kaynaklı Karşılaştırmalar Oluşturun
Fiyat/özellik tarih damgası ve resmi kaynak kontrolü.
H2 — 4. Uzman Görüşü ve Birinci El Deneyim Ekleyin
İsim, rol, süreç ve sonuç.
H2 — 5. Entity Bilgilerini Tutarlı Tutun
Organization, yazar, ürün ve iletişim bilgileri.
H2 — 6. İçeriği Teknik Olarak Erişilebilir Yapın
Crawler, noindex, render ve snippet kontrolleri.
H2 — 7. Konu Kümeleriyle Derinlik Oluşturun
Pillar + cluster + iç link.
H2 — 8. Üçüncü Taraf Yayınlarda Gerçek Değer Üretin
PR, konuk uzmanlık, veri ortaklığı; sahte mention’dan kaçının.
H2 — 9. Ulaşılabilir Citation Kaynaklarını Önceliklendirin
Rakip kaynaklarını etki, uygunluk ve erişilebilirliğe göre puanlayın.
H2 — 10. Citation’ları Prompt Bazında İzleyin
Hangi URL’nin hangi promptta kaynak olduğunu ve zamanla değişimi kaydedin.
H2 — Kaçınılması Gereken Taktikler
Sahte dizinler, ücretli spam mention, kaynak çarpıtma, kopya araştırma ve garanti söylemi.
H2 — Sonuç
Citation kazanmanın içerik, teknik ve dijital PR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ChatGPT kaynak olarak hangi siteleri kullanır?
- AI citation ile backlink aynı şey mi?
- Perplexity’de kaynak linki nasıl alınır?
- AI yanıtlarında kendi sitem neden kaynak olmuyor?
- Citation sayısı AI görünürlüğünü garanti eder mi?
    Her cevap 1–3 cümle olsun; soruyu cevabın içinde doğal biçimde tekrar et.
    İÇ LİNKLER
    - /ai-arama-rakip-analizi/ — “rakip citation boşluğu”
- /ai-arama-icerik-optimizasyonu/ — “özgün içerik optimizasyonu”
    Gelecek URL henüz yayımlanmadıysa linki kırık bırakma; içerik yayımlandıktan sonra eklenmek üzere editör notu koy.
    GÖRSEL ÖNERİLERİ
    - ai-citation-taktikleri-kapak.webp | Alt: AI yanıtlarında kaynak gösterilen web sayfalarını anlatan kapak
- ai-citation-turleri.webp | Alt: Mention ve citation farkını gösteren diyagram
- 100-citation-analizi.webp | Alt: 100 AI citation URL analiz tablosu
- etik-citation-yol-haritasi.webp | Alt: Etik AI citation kazanma yol haritası
    Kapak + en az 3 ek görsel kullan. Ekran görüntülerinde tarih ve veri kaynağı belirt; kişisel/müşteri verilerini maskele.
    KAYNAKLAR
    Öncelikle resmi ve birincil kaynakları kullan:
    - https://rankprompt.com/
- https://developers.google.com/search/docs/fundamentals/ai-optimization-guide
- https://developers.google.com/search/docs/fundamentals/creating-helpful-content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2" s="117" t="str">
        <x:f>IF('Programmatic_SEO_Template'!T12="","",'Programmatic_SEO_Template'!T12)</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3" ht="84" customHeight="1">
      <x:c r="A13" s="117" t="str">
        <x:f>IF('Programmatic_SEO_Template'!J13="","",'Programmatic_SEO_Template'!J13)</x:f>
        <x:v>AI Arama İçin Schema Markup Rehberi: Ne İşe Yarar, Ne Yapmaz?</x:v>
      </x:c>
      <x:c r="B13" s="117" t="str">
        <x:f>IF('Programmatic_SEO_Template'!L13="","",'Programmatic_SEO_Template'!L13)</x:f>
        <x:v>AI arama schema markup</x:v>
      </x:c>
      <x:c r="C13" s="117" t="str">
        <x:f>IF('Programmatic_SEO_Template'!M13="","",'Programmatic_SEO_Template'!M13)</x:f>
        <x:v>Bilgilendirici / teknik</x:v>
      </x:c>
      <x:c r="D13" s="117" t="str">
        <x:f>IF('Programmatic_SEO_Template'!O13="","",'Programmatic_SEO_Template'!O13)</x:f>
        <x:v>AI Arama İçin Schema Markup Rehberi</x:v>
      </x:c>
      <x:c r="E13" s="117" t="str">
        <x:f>IF('Programmatic_SEO_Template'!Q13="","",'Programmatic_SEO_Template'!Q13)</x:f>
        <x:v>AI arama için schema markup nasıl kullanılır, Article ve Organization şeması ne sağlar? Doğru JSON-LD uygulamasını öğrenin, yaygın teknik mitlerden kaçının.</x:v>
      </x:c>
      <x:c r="F13" s="117" t="str">
        <x:f>IF('Programmatic_SEO_Template'!S13="","",'Programmatic_SEO_Template'!S13)</x:f>
        <x:v>TEMPLATE: Contact Studios How-To — ürün tie-in
    HEDEF UZUNLUK: 1.500–2.000 kelime; 2.500 kelimeyi geçme.
    OKUYUCU: Teknik SEO uzmanları, geliştiriciler, içerik operasyon ekipleri
    FUNNEL AŞAMASI: Farkındalık
    ARAMA NİYETİ: Bilgilendirici / teknik
    TON: Profesyonel, anlaşılır, kanıta dayalı ve tarafsız. Reklam dili, abartı, “garantili görünürlük” ve doğrulanmamış üstünlük iddiaları kullanma.
    ANAHTAR KELİMELER
    - Birincil: AI arama schema markup
    - İlgili/uzun kuyruklu: GEO schema markup, AEO schema, AI için structured data, Article schema, Organization schema, Product schema, LocalBusiness schema, JSON-LD SEO, schema AI görünürlük, ChatGPT schema markup, structured data rehberi, AI search technical SEO
    - Birincil anahtar kelimeyi ilk 100 kelime içinde doğal biçimde kullan.
    - Anahtar kelimeyi en az 3 başlıkta doğal ve dilbilgisel olarak kullan; keyword stuffing yapma.
    AÇILIŞ
    - H1: AI Arama İçin Schema Markup Rehberi: Ne İşe Yarar, Ne Yapmaz?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schema’yı AI görünürlük garantisi gibi sunabiliyor. Yazı Google’ın resmi açıklamasına dayanarak schema’nın anlamlandırma/rich result katkısını ve sınırını netleştirmeli.
    ZORUNLU ÖZGÜN KANIT / PROPRIETARY INFORMATION
    Ortak Alan’daki bir makalenin mevcut structured data çıktısını Rich Results Test ile denetleyin; hataları, önerilen alanları ve düzeltme sonrası sonucu ekran görüntüsüyle yayınlayın.
    Bu çalışma yapılmadan yazıyı yayıma hazır sayma. Test tarihi, prompt sayısı, platformlar, dil/ülke ve yöntem açıkça belirtilsin. Veri üretilemezse sonuç uydurma; “test henüz yapılmadı” notu bırak.
    İÇERİK PLANI
    H2 — Schema Markup AI Görünürlüğünü Garanti Eder mi?
Hayır. Structured data’nın sayfa anlamını açıklamaya ve uygun rich result deneyimlerine yardımcı olduğunu, görünürlük garantisi vermediğini ilk cümlede söyleyin.
H2 — AI Arama İçin En İlgili Schema Türleri
H3: Organization; H3: Article; H3: Product/Offer; H3: LocalBusiness; H3: Breadcrumb; kullanım koşulları.
H2 — 1. Sayfa Türünü Doğru Eşleştirin
Her URL’ye uygun schema seçimi.
H2 — 2. JSON-LD ile Temel Alanları Ekleyin
Gerçek veriye dayalı örnek; uydurma review veya author kullanmayın.
H2 — 3. Yazar ve Kurum Entity’sini Bağlayın
author, publisher, sameAs, logo, url.
H2 — 4. Ürün ve Yerel İşletme Verilerini Güncel Tutun
Fiyat, stok, konum, çalışma saatleri ve resmi feed/profil.
H2 — 5. Rich Results Test ve URL Inspection ile Doğrulayın
Hata, uyarı ve indekslenme kontrolü.
H2 — 6. Schema ile Sayfa İçeriğini Tutarlı Tutun
Görünmeyen veya yanlış bilgiyi işaretlemeyin.
H2 — 7. Etkiyi Doğru Ölçün
Rich result, indekslenme, organik trafik ve AI visibility trendini ayrı izleyin.
H2 — AI Arama Schema Mitleri
Özel AI schema, schema ekleyince ChatGPT önerir, FAQ schema her yerde görünür, llms.txt schema yerine geçer gibi mitler.
H2 — Örnek JSON-LD Şablonları
Article + Organization için kısa, doğrulanabilir örnekler; yayın öncesi geliştirici kontrolü şartı.
H2 — Sonuç
Schema’yı sağlam teknik SEO’nun parçası olarak konumlandırın.
    SONUÇ
    - 100–150 kelime.
    - Yalnızca ana bulguları özetle; yeni bilgi veya yeni iddia ekleme.
    - CTA’yı tek paragrafta, doğal ve baskısız biçimde kullan.
    SSS
    3–7 soru kullan; aşağıdaki sorular long-tail hedefleridir ve mevcut H2’leri tekrar etmemelidir:
    - ChatGPT schema markup okur mu?
- GEO için özel schema türü var mı?
- Article schema AI görünürlüğünü artırır mı?
- FAQ schema kullanmak gerekli mi?
- Schema hataları sıralamayı düşürür mü?
    Her cevap 1–3 cümle olsun; soruyu cevabın içinde doğal biçimde tekrar et.
    İÇ LİNKLER
    - /ai-arama-icerik-optimizasyonu/ — “AI arama için içerik optimizasyonu”
- https://ortakalan.io/dextergpt-nedir/ — “teknik SEO otomasyonu”
    Gelecek URL henüz yayımlanmadıysa linki kırık bırakma; içerik yayımlandıktan sonra eklenmek üzere editör notu koy.
    GÖRSEL ÖNERİLERİ
    - ai-arama-schema-markup-kapak.webp | Alt: AI arama ve JSON-LD structured data kapak görseli
- schema-turleri-tablosu.webp | Alt: Organization Article Product ve LocalBusiness schema tablosu
- rich-results-test-ornegi.webp | Alt: Rich Results Test structured data doğrulama ekranı
- schema-mitleri.webp | Alt: AI arama için schema markup mitleri ve gerçekler
    Kapak + en az 3 ek görsel kullan. Ekran görüntülerinde tarih ve veri kaynağı belirt; kişisel/müşteri verilerini maskele.
    KAYNAKLAR
    Öncelikle resmi ve birincil kaynakları kullan:
    - https://developers.google.com/search/docs/appearance/structured-data/intro-structured-data
- https://developers.google.com/search/docs/appearance/structured-data/sd-policies
- https://developers.google.com/search/docs/appearance/structured-data/article
- https://developers.google.com/search/docs/appearance/structured-data/organization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3" s="117" t="str">
        <x:f>IF('Programmatic_SEO_Template'!T13="","",'Programmatic_SEO_Template'!T13)</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4" ht="84" customHeight="1">
      <x:c r="A14" s="117" t="str">
        <x:f>IF('Programmatic_SEO_Template'!J14="","",'Programmatic_SEO_Template'!J14)</x:f>
        <x:v>OAI-SearchBot, GPTBot ve PerplexityBot İçin robots.txt Rehberi</x:v>
      </x:c>
      <x:c r="B14" s="117" t="str">
        <x:f>IF('Programmatic_SEO_Template'!L14="","",'Programmatic_SEO_Template'!L14)</x:f>
        <x:v>OAI-SearchBot robots.txt</x:v>
      </x:c>
      <x:c r="C14" s="117" t="str">
        <x:f>IF('Programmatic_SEO_Template'!M14="","",'Programmatic_SEO_Template'!M14)</x:f>
        <x:v>Bilgilendirici / teknik</x:v>
      </x:c>
      <x:c r="D14" s="117" t="str">
        <x:f>IF('Programmatic_SEO_Template'!O14="","",'Programmatic_SEO_Template'!O14)</x:f>
        <x:v>OAI-SearchBot ve GPTBot Robots.txt Rehberi</x:v>
      </x:c>
      <x:c r="E14" s="117" t="str">
        <x:f>IF('Programmatic_SEO_Template'!Q14="","",'Programmatic_SEO_Template'!Q14)</x:f>
        <x:v>OAI-SearchBot robots.txt ayarı nasıl yapılır, GPTBot ile PerplexityBot farkı nedir? Örnek kuralları uygulayın, arama görünürlüğü ve eğitim tercihini ayırın.</x:v>
      </x:c>
      <x:c r="F14" s="117" t="str">
        <x:f>IF('Programmatic_SEO_Template'!S14="","",'Programmatic_SEO_Template'!S14)</x:f>
        <x:v>TEMPLATE: Contact Studios How-To — ürün tie-in
    HEDEF UZUNLUK: 1.500–2.000 kelime; 2.500 kelimeyi geçme.
    OKUYUCU: Teknik SEO uzmanları, web geliştiricileri, site sahipleri
    FUNNEL AŞAMASI: Farkındalık
    ARAMA NİYETİ: Bilgilendirici / teknik
    TON: Profesyonel, anlaşılır, kanıta dayalı ve tarafsız. Reklam dili, abartı, “garantili görünürlük” ve doğrulanmamış üstünlük iddiaları kullanma.
    ANAHTAR KELİMELER
    - Birincil: OAI-SearchBot robots.txt
    - İlgili/uzun kuyruklu: GPTBot robots.txt, PerplexityBot robots.txt, AI crawler robots.txt, ChatGPT search crawler, OAI SearchBot allow, AI bot engelleme, GPTBot ve OAI-SearchBot farkı, Perplexity crawler, robots.txt AI görünürlük, ChatGPT site erişimi, AI crawler audit, noindex ChatGPT
    - Birincil anahtar kelimeyi ilk 100 kelime içinde doğal biçimde kullan.
    - Anahtar kelimeyi en az 3 başlıkta doğal ve dilbilgisel olarak kullan; keyword stuffing yapma.
    AÇILIŞ
    - H1: OAI-SearchBot, GPTBot ve PerplexityBot İçin robots.txt Rehberi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Çoğu rehber eğitim botu ile arama botunu karıştırıyor. Yazı OAI-SearchBot, GPTBot ve PerplexityBot amaçlarını resmi kaynaklarla ayırmalı ve gizlilik/görünürlük karar matrisi vermeli.
    ZORUNLU ÖZGÜN KANIT / PROPRIETARY INFORMATION
    Ortak Alan’ın robots.txt dosyasını yayın tarihinde canlı kontrol edin; user-agent kurallarını tabloya dökün, olası çakışmaları ve düzeltme önerilerini gerçek çıktı olarak ekleyin.
    Bu çalışma yapılmadan yazıyı yayıma hazır sayma. Test tarihi, prompt sayısı, platformlar, dil/ülke ve yöntem açıkça belirtilsin. Veri üretilemezse sonuç uydurma; “test henüz yapılmadı” notu bırak.
    İÇERİK PLANI
    H2 — OAI-SearchBot, GPTBot ve PerplexityBot Aynı Şey Değildir
Arama sonuçlarında görünürlük, model eğitimi ve Perplexity search crawling amaçlarını ilk bölümde ayırın.
H2 — Botların Görevleri Karşılaştırma Tablosu
User-agent, amaç, engellemenin etkisi, resmi doküman ve önerilen karar sütunları.
H2 — robots.txt Dosyası Nasıl Kontrol Edilir?
URL, mevcut kurallar, wildcard, crawl erişimi ve test adımları.
H2 — OAI-SearchBot’a İzin Verme Örneği
Resmi dokümana dayalı örnek kural; site özelinde hukuk/gizlilik kontrolü.
H2 — GPTBot’u Ayrı Yönetme Örneği
Arama görünürlüğü ile olası eğitim tercihini ayırın.
H2 — PerplexityBot’a İzin Verme veya Engelleme
Resmi user-agent ve yayınlanmış IP doğrulama notu.
H2 — noindex, robots.txt ve Meta Robots Farkı
Botun noindex’i okuyabilmesi için crawl erişiminin gerekebileceğini açıklayın.
H2 — Yaygın Yapılandırma Hataları
Tüm botları wildcard ile istemeden engelleme, çelişkili kurallar, CDN/WAF blokları, yanlış user-agent, staging kurallarını production’a taşıma.
H2 — AI Crawler Audit Kontrol Listesi
robots, HTTP status, render, canonical, noindex, firewall, log kayıtları.
H2 — Sonuç
Teknik tercihin görünürlük, eğitim ve gizlilik hedefleriyle uyumlu olması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OAI-SearchBot engellenirse ChatGPT’de görünür müyüm?
- GPTBot’u engellemek ChatGPT Search’ü etkiler mi?
- PerplexityBot hangi amaçla tarama yapar?
- robots.txt ile AI eğitimi tamamen engellenir mi?
- noindex ve robots.txt arasındaki fark nedir?
    Her cevap 1–3 cümle olsun; soruyu cevabın içinde doğal biçimde tekrar et.
    İÇ LİNKLER
    - /chatgpt-markami-neden-onermiyor/ — “ChatGPT görünmezliği nedenleri”
- /ai-arama-schema-markup/ — “AI arama teknik SEO”
    Gelecek URL henüz yayımlanmadıysa linki kırık bırakma; içerik yayımlandıktan sonra eklenmek üzere editör notu koy.
    GÖRSEL ÖNERİLERİ
    - ai-crawler-robots-txt-kapak.webp | Alt: OAI-SearchBot GPTBot ve PerplexityBot robots.txt kapak görseli
- ai-bot-karsilastirma.webp | Alt: AI crawler user-agent karşılaştırma tablosu
- robots-txt-ornekleri.webp | Alt: OAI-SearchBot ve GPTBot için robots.txt örnekleri
- ai-crawler-audit.webp | Alt: AI crawler erişim denetimi kontrol listesi
    Kapak + en az 3 ek görsel kullan. Ekran görüntülerinde tarih ve veri kaynağı belirt; kişisel/müşteri verilerini maskele.
    KAYNAKLAR
    Öncelikle resmi ve birincil kaynakları kullan:
    - https://help.openai.com/en/articles/12627856-publishers-and-developers-faq
- https://docs.perplexity.ai/docs/resources/perplexity-crawlers
- https://developers.google.com/search/docs/crawling-indexing/robots-meta-tag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4" s="117" t="str">
        <x:f>IF('Programmatic_SEO_Template'!T14="","",'Programmatic_SEO_Template'!T14)</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5" ht="84" customHeight="1">
      <x:c r="A15" s="117" t="str">
        <x:f>IF('Programmatic_SEO_Template'!J15="","",'Programmatic_SEO_Template'!J15)</x:f>
        <x:v>ChatGPT’den Gelen Trafik GA4’te Nasıl Ölçülür? Adım Adım</x:v>
      </x:c>
      <x:c r="B15" s="117" t="str">
        <x:f>IF('Programmatic_SEO_Template'!L15="","",'Programmatic_SEO_Template'!L15)</x:f>
        <x:v>ChatGPT trafiği GA4</x:v>
      </x:c>
      <x:c r="C15" s="117" t="str">
        <x:f>IF('Programmatic_SEO_Template'!M15="","",'Programmatic_SEO_Template'!M15)</x:f>
        <x:v>Bilgilendirici / teknik</x:v>
      </x:c>
      <x:c r="D15" s="117" t="str">
        <x:f>IF('Programmatic_SEO_Template'!O15="","",'Programmatic_SEO_Template'!O15)</x:f>
        <x:v>ChatGPT Trafiği GA4’te Nasıl Ölçülür?</x:v>
      </x:c>
      <x:c r="E15" s="117" t="str">
        <x:f>IF('Programmatic_SEO_Template'!Q15="","",'Programmatic_SEO_Template'!Q15)</x:f>
        <x:v>ChatGPT trafiği GA4’te nasıl bulunur, utm_source=chatgpt.com ve referral verisi nasıl analiz edilir? Raporu kurun, landing page ve dönüşümleri izleyin.</x:v>
      </x:c>
      <x:c r="F15" s="117" t="str">
        <x:f>IF('Programmatic_SEO_Template'!S15="","",'Programmatic_SEO_Template'!S15)</x:f>
        <x:v>TEMPLATE: Contact Studios How-To — ürün tie-in
    HEDEF UZUNLUK: 1.500–2.000 kelime; 2.500 kelimeyi geçme.
    OKUYUCU: Growth analistleri, içerik yöneticileri, SEO ve BI ekipleri
    FUNNEL AŞAMASI: Değerlendirme
    ARAMA NİYETİ: Bilgilendirici / teknik
    TON: Profesyonel, anlaşılır, kanıta dayalı ve tarafsız. Reklam dili, abartı, “garantili görünürlük” ve doğrulanmamış üstünlük iddiaları kullanma.
    ANAHTAR KELİMELER
    - Birincil: ChatGPT trafiği GA4
    - İlgili/uzun kuyruklu: ChatGPT referral traffic, chatgpt.com GA4, utm_source chatgpt.com, AI referral traffic, ChatGPT trafik ölçümü, GA4 session source medium, AI traffic analytics, ChatGPT landing page, Perplexity referral GA4, AI dönüşüm takibi, GA4 custom channel group, LLM trafik raporu
    - Birincil anahtar kelimeyi ilk 100 kelime içinde doğal biçimde kullan.
    - Anahtar kelimeyi en az 3 başlıkta doğal ve dilbilgisel olarak kullan; keyword stuffing yapma.
    AÇILIŞ
    - H1: ChatGPT’den Gelen Trafik GA4’te Nasıl Ölçülür? Adım Adım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Birçok rehber yalnızca referral filtresi gösteriyor. Yazı OpenAI’nin otomatik utm_source bilgisini, session source/medium, landing page ve dönüşüm analizini tek akışta anlatmalı.
    ZORUNLU ÖZGÜN KANIT / PROPRIETARY INFORMATION
    Ortak Alan GA4 verisinde son 90 günü inceleyin; chatgpt.com kaynaklı oturum, landing page, engagement ve dönüşüm verilerini anonimleştirilmiş ekran görüntüsü ve tarih aralığıyla yayınlayın. Veri yoksa '0' bulgusunu da paylaşın.
    Bu çalışma yapılmadan yazıyı yayıma hazır sayma. Test tarihi, prompt sayısı, platformlar, dil/ülke ve yöntem açıkça belirtilsin. Veri üretilemezse sonuç uydurma; “test henüz yapılmadı” notu bırak.
    İÇERİK PLANI
    H2 — ChatGPT Trafiği GA4’te Görülebilir mi?
Evet; yönlendirme ve UTM bilgisi geldiğinde GA4 source/medium boyutlarında izlenebilir. Tüm AI etkisinin referral trafiğine dönüşmediğini belirtin.
H2 — OpenAI’nin utm_source=chatgpt.com Parametresi
Resmi bilgi ve ne anlama geldiği.
H2 — 1. Traffic Acquisition Raporunu Açın
Reports → Acquisition → Traffic acquisition.
H2 — 2. Session Source / Medium Boyutunu Kullanın
chatgpt.com ve olası referral varyasyonlarını filtreleyin.
H2 — 3. Landing Page + Query String Ekleyin
Hangi içeriklerin AI tıklaması aldığını bulun.
H2 — 4. Engagement ve Dönüşümleri Karşılaştırın
Engaged sessions, engagement rate, key events, revenue/lead.
H2 — 5. Özel Keşif veya Rapor Oluşturun
Kaynak, landing page, device, country ve conversion kırılımları.
H2 — 6. AI Trafiği İçin Custom Channel Group Düşünün
ChatGPT, Perplexity ve diğer AI referrer’ları bir araya getirme mantığı; kurulumun property yapısına göre değişebileceğini belirtin.
H2 — 7. Görünürlük Verisiyle Trafiği Eşleyin
Prompt/citation görünürlüğü ile GA4 landing page trendini korelasyon olarak değerlendirin; nedensellik iddia etmeyin.
H2 — Ölçüm Sınırlamaları
No-referrer/direct, uygulama içi tıklama, dark traffic, düşük hacim ve attribution.
H2 — Sonuç
GA4 trafiği ile AI visibility ölçümünün birbirini tamamladığını özetleyin.
    SONUÇ
    - 100–150 kelime.
    - Yalnızca ana bulguları özetle; yeni bilgi veya yeni iddia ekleme.
    - CTA’yı tek paragrafta, doğal ve baskısız biçimde kullan.
    SSS
    3–7 soru kullan; aşağıdaki sorular long-tail hedefleridir ve mevcut H2’leri tekrar etmemelidir:
    - ChatGPT trafiği GA4’te hangi kaynakta görünür?
- utm_source=chatgpt.com otomatik eklenir mi?
- AI trafiği neden direct olarak görünebilir?
- Perplexity trafiği GA4’te nasıl bulunur?
- ChatGPT trafiğinin dönüşümü nasıl ölçülür?
    Her cevap 1–3 cümle olsun; soruyu cevabın içinde doğal biçimde tekrar et.
    İÇ LİNKLER
    - /ai-gorunurluk-raporu/ — “AI görünürlük raporu”
- /chatgpt-marka-gorunurlugu-olcme/ — “ChatGPT görünürlük ölçümü”
    Gelecek URL henüz yayımlanmadıysa linki kırık bırakma; içerik yayımlandıktan sonra eklenmek üzere editör notu koy.
    GÖRSEL ÖNERİLERİ
    - chatgpt-trafigi-ga4-kapak.webp | Alt: GA4 üzerinde ChatGPT referral trafiğini gösteren kapak
- ga4-session-source-medium.webp | Alt: GA4 session source medium filtresi örneği
- chatgpt-landing-page-raporu.webp | Alt: ChatGPT kaynaklı landing page raporu
- ai-traffic-dashboard.webp | Alt: AI referral trafik ve dönüşüm dashboard örneği
    Kapak + en az 3 ek görsel kullan. Ekran görüntülerinde tarih ve veri kaynağı belirt; kişisel/müşteri verilerini maskele.
    KAYNAKLAR
    Öncelikle resmi ve birincil kaynakları kullan:
    - https://help.openai.com/en/articles/12627856-publishers-and-developers-faq
- https://support.google.com/analytics/answer/12923437
- https://support.google.com/analytics/answer/12931766
- https://support.google.com/analytics/answer/11242870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5" s="117" t="str">
        <x:f>IF('Programmatic_SEO_Template'!T15="","",'Programmatic_SEO_Template'!T15)</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6" ht="84" customHeight="1">
      <x:c r="A16" s="117" t="str">
        <x:f>IF('Programmatic_SEO_Template'!J16="","",'Programmatic_SEO_Template'!J16)</x:f>
        <x:v>Google AI Overviews ve AI Mode Görünürlüğü Nasıl İzlenir?</x:v>
      </x:c>
      <x:c r="B16" s="117" t="str">
        <x:f>IF('Programmatic_SEO_Template'!L16="","",'Programmatic_SEO_Template'!L16)</x:f>
        <x:v>Google AI Overviews görünürlük takibi</x:v>
      </x:c>
      <x:c r="C16" s="117" t="str">
        <x:f>IF('Programmatic_SEO_Template'!M16="","",'Programmatic_SEO_Template'!M16)</x:f>
        <x:v>Bilgilendirici / ticari araştırma</x:v>
      </x:c>
      <x:c r="D16" s="117" t="str">
        <x:f>IF('Programmatic_SEO_Template'!O16="","",'Programmatic_SEO_Template'!O16)</x:f>
        <x:v>Google AI Overviews Görünürlüğü Nasıl İzlenir?</x:v>
      </x:c>
      <x:c r="E16" s="117" t="str">
        <x:f>IF('Programmatic_SEO_Template'!Q16="","",'Programmatic_SEO_Template'!Q16)</x:f>
        <x:v>Google AI Overviews görünürlük takibi nasıl yapılır ve AI Mode performansı nasıl ölçülür? Search Console, kaynak linkleri ve prompt testlerini beraber kullanın.</x:v>
      </x:c>
      <x:c r="F16" s="117" t="str">
        <x:f>IF('Programmatic_SEO_Template'!S16="","",'Programmatic_SEO_Template'!S16)</x:f>
        <x:v>TEMPLATE: Contact Studios How-To — ürün tie-in
    HEDEF UZUNLUK: 1.500–2.000 kelime; 2.500 kelimeyi geçme.
    OKUYUCU: SEO ekipleri, yayıncılar, e-ticaret ve içerik yöneticileri
    FUNNEL AŞAMASI: Değerlendirme
    ARAMA NİYETİ: Bilgilendirici / ticari araştırma
    TON: Profesyonel, anlaşılır, kanıta dayalı ve tarafsız. Reklam dili, abartı, “garantili görünürlük” ve doğrulanmamış üstünlük iddiaları kullanma.
    ANAHTAR KELİMELER
    - Birincil: Google AI Overviews görünürlük takibi
    - İlgili/uzun kuyruklu: AI Overviews tracking, Google AI Mode görünürlüğü, AI Overview citation, Google generative search SEO, Search Console AI performance, AI Mode kaynak takibi, Google AI görünürlük, AI Overview ölçümü, query fan-out SEO, Google generative AI report, AI Overviews trafik, Google AI citation
    - Birincil anahtar kelimeyi ilk 100 kelime içinde doğal biçimde kullan.
    - Anahtar kelimeyi en az 3 başlıkta doğal ve dilbilgisel olarak kullan; keyword stuffing yapma.
    AÇILIŞ
    - H1: Google AI Overviews ve AI Mode Görünürlüğü Nasıl İzlenir?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Rehberler çoğu zaman özel 'GEO hack' öneriyor. Yazı Google’ın resmi olarak temel SEO uygulamalarını, people-first içeriği ve teknik uygunluğu vurguladığını açıkça anlatmalı.
    ZORUNLU ÖZGÜN KANIT / PROPRIETARY INFORMATION
    20 bilgi ve ticari sorguda AI Overview/AI Mode varlığı, Ortak Alan veya örnek sitenin citation olup olmadığı ve klasik organik pozisyonu aynı tabloda karşılaştırın.
    Bu çalışma yapılmadan yazıyı yayıma hazır sayma. Test tarihi, prompt sayısı, platformlar, dil/ülke ve yöntem açıkça belirtilsin. Veri üretilemezse sonuç uydurma; “test henüz yapılmadı” notu bırak.
    İÇERİK PLANI
    H2 — Google AI Overviews ve AI Mode Nedir?
İki deneyimi, doğrudan yanıt ve kaynak linkleri bağlamında kısa tanımlayın.
H2 — Google’ın Resmi Görüşü: Temel SEO Hâlâ Geçerli
Ek teknik gereksinim olmadığını, sayfanın indekslenebilir ve snippet için uygun olması gerektiğini aktarın.
H2 — Query Fan-Out Ne Anlama Gelir?
Bir sorgunun alt sorulara ayrılması ve farklı kaynakların keşfedilebilmesi.
H2 — 1. Hedef Sorgu Seti Oluşturun
Bilgi, karşılaştırma, ürün ve yerel niyet.
H2 — 2. AI Overview/Mode Varlığını ve Kaynakları Kaydedin
Tarih, ülke, dil, cihaz ve sorgu.
H2 — 3. Search Console Verisini İzleyin
Mevcut generative AI performans raporu/raporlama özelliklerini resmi dokümana göre güncel kontrol edin; klasik query/page verisiyle birlikte değerlendirin.
H2 — 4. Citation ve Landing Page’leri Eşleyin
Hangi sayfanın hangi alt soruda kaynak olduğuna bakın.
H2 — 5. Teknik ve İçerik Uygunluğunu Denetleyin
İndeks, snippet, people-first içerik, özgün değer, görsel/video ve site deneyimi.
H2 — 6. Değişiklikleri Yeniden Test Edin
Aynı sorgular, tarih kaydı ve trend.
H2 — Kaçınılması Gereken Mitler
llms.txt zorunlu, özel AI schema, içerik chunking şart, yapay mention satın alma ve garanti söylemleri.
H2 — Sonuç
Google generative search görünürlüğünün temel SEO + özgün içerik + ölçüm birleşimi olduğunu özetleyin.
    SONUÇ
    - 100–150 kelime.
    - Yalnızca ana bulguları özetle; yeni bilgi veya yeni iddia ekleme.
    - CTA’yı tek paragrafta, doğal ve baskısız biçimde kullan.
    SSS
    3–7 soru kullan; aşağıdaki sorular long-tail hedefleridir ve mevcut H2’leri tekrar etmemelidir:
    - AI Overviews için ayrı SEO gerekir mi?
- Google AI Mode trafiği Search Console’da görünür mü?
- AI Overview kaynakları nasıl seçilir?
- llms.txt Google AI Overviews için gerekli mi?
- AI Overviews görünürlüğü nasıl ölçülür?
    Her cevap 1–3 cümle olsun; soruyu cevabın içinde doğal biçimde tekrar et.
    İÇ LİNKLER
    - /aeo-geo-seo-farki/ — “GEO ve SEO farkı”
- /ai-arama-icerik-optimizasyonu/ — “AI arama içerik optimizasyonu”
    Gelecek URL henüz yayımlanmadıysa linki kırık bırakma; içerik yayımlandıktan sonra eklenmek üzere editör notu koy.
    GÖRSEL ÖNERİLERİ
    - google-ai-overviews-kapak.webp | Alt: Google AI Overviews ve AI Mode görünürlük takibi kapak görseli
- query-fan-out.webp | Alt: Google query fan-out sürecini anlatan diyagram
- ai-overview-kaynak-tablosu.webp | Alt: AI Overview kaynak ve organik sıra karşılaştırma tablosu
- google-ai-mitleri.webp | Alt: Google generative AI arama mitleri ve gerçekler
    Kapak + en az 3 ek görsel kullan. Ekran görüntülerinde tarih ve veri kaynağı belirt; kişisel/müşteri verilerini maskele.
    KAYNAKLAR
    Öncelikle resmi ve birincil kaynakları kullan:
    - https://developers.google.com/search/docs/appearance/ai-features
- https://developers.google.com/search/docs/fundamentals/ai-optimization-guide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6" s="117" t="str">
        <x:f>IF('Programmatic_SEO_Template'!T16="","",'Programmatic_SEO_Template'!T16)</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7" ht="84" customHeight="1">
      <x:c r="A17" s="117" t="str">
        <x:f>IF('Programmatic_SEO_Template'!J17="","",'Programmatic_SEO_Template'!J17)</x:f>
        <x:v>SaaS Şirketleri İçin GEO Stratejisi: 90 Günlük Uygulama Planı</x:v>
      </x:c>
      <x:c r="B17" s="117" t="str">
        <x:f>IF('Programmatic_SEO_Template'!L17="","",'Programmatic_SEO_Template'!L17)</x:f>
        <x:v>SaaS GEO stratejisi</x:v>
      </x:c>
      <x:c r="C17" s="117" t="str">
        <x:f>IF('Programmatic_SEO_Template'!M17="","",'Programmatic_SEO_Template'!M17)</x:f>
        <x:v>Bilgilendirici / ticari araştırma</x:v>
      </x:c>
      <x:c r="D17" s="117" t="str">
        <x:f>IF('Programmatic_SEO_Template'!O17="","",'Programmatic_SEO_Template'!O17)</x:f>
        <x:v>SaaS Şirketleri İçin GEO Stratejisi</x:v>
      </x:c>
      <x:c r="E17" s="117" t="str">
        <x:f>IF('Programmatic_SEO_Template'!Q17="","",'Programmatic_SEO_Template'!Q17)</x:f>
        <x:v>SaaS GEO stratejisi nasıl kurulur ve ChatGPT’de SaaS görünürlüğü nasıl artırılır? 90 günlük planı uygulayın, ürün ve rakip promptlarını düzenli ölçün.</x:v>
      </x:c>
      <x:c r="F17" s="117" t="str">
        <x:f>IF('Programmatic_SEO_Template'!S17="","",'Programmatic_SEO_Template'!S17)</x:f>
        <x:v>TEMPLATE: Contact Studios How-To — ürün tie-in
    HEDEF UZUNLUK: 1.500–2.000 kelime; 2.500 kelimeyi geçme.
    OKUYUCU: B2B SaaS kurucuları, growth ve içerik ekipleri
    FUNNEL AŞAMASI: Değerlendirme
    ARAMA NİYETİ: Bilgilendirici / ticari araştırma
    TON: Profesyonel, anlaşılır, kanıta dayalı ve tarafsız. Reklam dili, abartı, “garantili görünürlük” ve doğrulanmamış üstünlük iddiaları kullanma.
    ANAHTAR KELİMELER
    - Birincil: SaaS GEO stratejisi
    - İlgili/uzun kuyruklu: SaaS AI görünürlük, B2B SaaS GEO, ChatGPT SaaS önerileri, SaaS AEO stratejisi, SaaS content strategy AI, SaaS citation building, SaaS competitor prompts, AI search for SaaS, SaaS brand visibility, GEO roadmap, LLM SaaS marketing, AI discovery SaaS
    - Birincil anahtar kelimeyi ilk 100 kelime içinde doğal biçimde kullan.
    - Anahtar kelimeyi en az 3 başlıkta doğal ve dilbilgisel olarak kullan; keyword stuffing yapma.
    AÇILIŞ
    - H1: SaaS Şirketleri İçin GEO Stratejisi: 90 Günlük Uygulama Planı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GEO rehberleri SaaS satın alma yolculuğunu, alternatif/comparison sorgularını, integration ve use-case sayfalarını yeterince işlemiyor.
    ZORUNLU ÖZGÜN KANIT / PROPRIETARY INFORMATION
    Bir SaaS için 50 promptu problem, kategori, alternatif, karşılaştırma ve satın alma niyetine göre sınıflandırın; 90 günlük planın başında ve sonunda görünürlük farkını yayınlayın.
    Bu çalışma yapılmadan yazıyı yayıma hazır sayma. Test tarihi, prompt sayısı, platformlar, dil/ülke ve yöntem açıkça belirtilsin. Veri üretilemezse sonuç uydurma; “test henüz yapılmadı” notu bırak.
    İÇERİK PLANI
    H2 — SaaS İçin GEO Neden Farklıdır?
Uzun değerlendirme süreci, kategori eğitimi, rakip karşılaştırması, entegrasyon ve güven kanıtı.
H2 — 90 Günlük SaaS GEO Planı
Üç fazı kısa tabloyla özetleyin.
H2 — Gün 1-30: Baseline ve Temel Varlıklar
H3: 50 prompt haritası; H3: rakip seti; H3: entity/brand audit; H3: ürün, use-case, integration ve pricing sayfaları; H3: crawler/index kontrolleri.
H2 — Gün 31-60: İçerik ve Kanıt Üretimi
H3: problem/solution içerikleri; H3: alternatif ve karşılaştırma sayfaları; H3: gerçek vaka/veri; H3: uzman görüşü; H3: third-party mention planı.
H2 — Gün 61-90: Citation, Dağıtım ve Yeniden Ölçüm
H3: kaynak gap; H3: dijital PR; H3: partner/marketplace profilleri; H3: prompt bazlı yeniden tarama; H3: rapor.
H2 — SaaS GEO İçin Öncelikli Sayfa Türleri
Ana sayfa, kategori, use-case, integration, comparison, alternatives, case study, docs ve pricing.
H2 — SaaS GEO KPI’ları
Weighted visibility, category prompt coverage, competitor share, citation quality, referral traffic, demo/lead.
H2 — Rank Prompt ile SaaS Görünürlüğü Nasıl İzlenir?
Platformu ölçüm ve gap analizi örneği olarak kısa, şeffaf bir bölümde kullanın.
H2 — Sonuç
90 günlük döngünün ölçüm, kanıt ve dağıtım üzerine kurulu olduğunu özetleyin.
    SONUÇ
    - 100–150 kelime.
    - Yalnızca ana bulguları özetle; yeni bilgi veya yeni iddia ekleme.
    - CTA’yı tek paragrafta, doğal ve baskısız biçimde kullan.
    SSS
    3–7 soru kullan; aşağıdaki sorular long-tail hedefleridir ve mevcut H2’leri tekrar etmemelidir:
    - SaaS GEO çalışmalarına hangi sayfadan başlanmalı?
- ChatGPT SaaS ürünlerini neye göre önerir?
- SaaS için kaç prompt izlenmeli?
- GEO demo taleplerini artırır mı?
- SaaS GEO ve product-led SEO birlikte yürütülür mü?
    Her cevap 1–3 cümle olsun; soruyu cevabın içinde doğal biçimde tekrar et.
    İÇ LİNKLER
    - https://ortakalan.io/saas-bridge-nedir/ — “SaaS ekosistemi”
- /ai-arama-rakip-analizi/ — “AI rakip analizi”
- /rank-prompt-nedir/ — “SaaS için AI görünürlük aracı”
    Gelecek URL henüz yayımlanmadıysa linki kırık bırakma; içerik yayımlandıktan sonra eklenmek üzere editör notu koy.
    GÖRSEL ÖNERİLERİ
    - saas-geo-stratejisi-kapak.webp | Alt: B2B SaaS için 90 günlük GEO stratejisi kapak görseli
- saas-prompt-haritasi.webp | Alt: SaaS satın alma yolculuğuna göre prompt haritası
- 90-gun-saas-geo.webp | Alt: 90 günlük SaaS GEO uygulama takvimi
- saas-geo-kpi.webp | Alt: SaaS GEO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https://rankprompt.com/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7" s="117" t="str">
        <x:f>IF('Programmatic_SEO_Template'!T17="","",'Programmatic_SEO_Template'!T17)</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8" ht="84" customHeight="1">
      <x:c r="A18" s="117" t="str">
        <x:f>IF('Programmatic_SEO_Template'!J18="","",'Programmatic_SEO_Template'!J18)</x:f>
        <x:v>E-Ticaret Siteleri İçin AI Görünürlük Rehberi: Ürünlerden Citation’a</x:v>
      </x:c>
      <x:c r="B18" s="117" t="str">
        <x:f>IF('Programmatic_SEO_Template'!L18="","",'Programmatic_SEO_Template'!L18)</x:f>
        <x:v>e-ticaret AI görünürlük</x:v>
      </x:c>
      <x:c r="C18" s="117" t="str">
        <x:f>IF('Programmatic_SEO_Template'!M18="","",'Programmatic_SEO_Template'!M18)</x:f>
        <x:v>Bilgilendirici / ticari araştırma</x:v>
      </x:c>
      <x:c r="D18" s="117" t="str">
        <x:f>IF('Programmatic_SEO_Template'!O18="","",'Programmatic_SEO_Template'!O18)</x:f>
        <x:v>E-Ticaret İçin AI Görünürlük Rehberi</x:v>
      </x:c>
      <x:c r="E18" s="117" t="str">
        <x:f>IF('Programmatic_SEO_Template'!Q18="","",'Programmatic_SEO_Template'!Q18)</x:f>
        <x:v>E-ticaret AI görünürlük stratejisi nasıl kurulur ve ChatGPT’de ürün görünürlüğü nasıl ölçülür? Ürün verisi, schema, içerik ve citation adımlarını uygulayın.</x:v>
      </x:c>
      <x:c r="F18" s="117" t="str">
        <x:f>IF('Programmatic_SEO_Template'!S18="","",'Programmatic_SEO_Template'!S18)</x:f>
        <x:v>TEMPLATE: Contact Studios How-To — ürün tie-in
    HEDEF UZUNLUK: 1.500–2.000 kelime; 2.500 kelimeyi geçme.
    OKUYUCU: E-ticaret yöneticileri, SEO ve ürün feed ekipleri
    FUNNEL AŞAMASI: Değerlendirme
    ARAMA NİYETİ: Bilgilendirici / ticari araştırma
    TON: Profesyonel, anlaşılır, kanıta dayalı ve tarafsız. Reklam dili, abartı, “garantili görünürlük” ve doğrulanmamış üstünlük iddiaları kullanma.
    ANAHTAR KELİMELER
    - Birincil: e-ticaret AI görünürlük
    - İlgili/uzun kuyruklu: ChatGPT ürün görünürlüğü, ecommerce GEO, AI shopping visibility, Product schema AI, Merchant Center AI, AI ürün önerileri, e-ticaret citation, AI search ecommerce, ürün feed optimizasyonu, AI marka görünürlüğü e-ticaret, generative shopping SEO, AI product discovery
    - Birincil anahtar kelimeyi ilk 100 kelime içinde doğal biçimde kullan.
    - Anahtar kelimeyi en az 3 başlıkta doğal ve dilbilgisel olarak kullan; keyword stuffing yapma.
    AÇILIŞ
    - H1: E-Ticaret Siteleri İçin AI Görünürlük Rehberi: Ürünlerden Citation’a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Genel AI görünürlük yazıları ürün feed, Merchant Center, Product/Offer schema, stok/fiyat güncelliği ve kategori/rehber içeriklerinin birlikte çalışmasını işlemiyor.
    ZORUNLU ÖZGÜN KANIT / PROPRIETARY INFORMATION
    10 kategori ve 30 ürün keşif promptunda marka/ürün görünürlüğünü test edin; ürün verisi eksikliği, citation ve içerik türü ile sonuçları eşleştiren özgün tablo yayınlayın.
    Bu çalışma yapılmadan yazıyı yayıma hazır sayma. Test tarihi, prompt sayısı, platformlar, dil/ülke ve yöntem açıkça belirtilsin. Veri üretilemezse sonuç uydurma; “test henüz yapılmadı” notu bırak.
    İÇERİK PLANI
    H2 — E-Ticarette AI Görünürlük Ne Anlama Gelir?
Marka, kategori, ürün ve alışveriş tavsiyesi düzeylerini ayırın.
H2 — E-Ticaret İçin AI Görünürlük Katmanları
H3: Ürün verisi; H3: kategori ve rehber içerikleri; H3: review/third-party kanıt; H3: teknik erişilebilirlik; H3: ölçüm.
H2 — 1. Merchant Center ve Ürün Verisini Düzenleyin
Fiyat, stok, görsel, GTIN, kargo ve iade bilgilerinin güncelliği.
H2 — 2. Product ve Offer Structured Data Kullanın
Resmi Google yönergeleri ve içerikle tutarlılık.
H2 — 3. Kategori Sayfalarını Soru ve Karar Odaklı Geliştirin
Seçim kriteri, kullanım senaryosu ve karşılaştırma.
H2 — 4. Özgün Ürün Kanıtları Ekleyin
Test, ölçüm, fotoğraf, video, kullanım sonucu ve uzman görüşü.
H2 — 5. Review ve Marka Bilgilerini Tutarlı Tutun
Sahte review veya yanıltıcı aggregate rating’den kaçının.
H2 — 6. AI Crawler ve İndeks Erişimini Denetleyin
robots, noindex, JS render, canonical ve faceted navigation.
H2 — 7. Ürün ve Kategori Promptlarını Ölçün
Kategori, problem, karşılaştırma, bütçe ve yerel niyet.
H2 — 8. Citation ve Referral Trafiğini İzleyin
Kaynak URL, platform, landing page ve conversion.
H2 — E-Ticaret AI Görünürlük KPI’ları
Product mention rate, category coverage, citation, assisted conversion, feed health.
H2 — Sonuç
Ürün verisi + özgün içerik + güven + ölçüm kombinasyonunu özetleyin.
    SONUÇ
    - 100–150 kelime.
    - Yalnızca ana bulguları özetle; yeni bilgi veya yeni iddia ekleme.
    - CTA’yı tek paragrafta, doğal ve baskısız biçimde kullan.
    SSS
    3–7 soru kullan; aşağıdaki sorular long-tail hedefleridir ve mevcut H2’leri tekrar etmemelidir:
    - ChatGPT ürünleri neye göre önerir?
- Product schema AI görünürlüğünü artırır mı?
- Merchant Center AI Overviews için önemli mi?
- E-ticaret sitesi kaç ürün promptu izlemeli?
- AI trafiği e-ticaret dönüşümüne nasıl bağlanır?
    Her cevap 1–3 cümle olsun; soruyu cevabın içinde doğal biçimde tekrar et.
    İÇ LİNKLER
    - /ai-arama-schema-markup/ — “Product schema ve structured data”
- /chatgpt-trafigi-ga4/ — “AI referral trafiği ölçümü”
    Gelecek URL henüz yayımlanmadıysa linki kırık bırakma; içerik yayımlandıktan sonra eklenmek üzere editör notu koy.
    GÖRSEL ÖNERİLERİ
    - e-ticaret-ai-gorunurluk-kapak.webp | Alt: E-ticaret ürünlerinin AI yanıtlarında görünürlüğünü anlatan kapak
- urun-verisi-ai-gorunurluk.webp | Alt: Ürün feed schema içerik ve citation katmanları
- e-ticaret-prompt-matrisi.webp | Alt: Kategori ve ürün keşif prompt matrisi
- ai-shopping-kpi.webp | Alt: E-ticaret AI görünürlük KPI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https://developers.google.com/search/docs/appearance/structured-data/product
- https://developers.google.com/search/docs/appearance/structured-data/merchant-listing
- https://developers.google.com/search/docs/specialty/ecommerce/share-your-product-data-with-google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8" s="117" t="str">
        <x:f>IF('Programmatic_SEO_Template'!T18="","",'Programmatic_SEO_Template'!T18)</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19" ht="84" customHeight="1">
      <x:c r="A19" s="117" t="str">
        <x:f>IF('Programmatic_SEO_Template'!J19="","",'Programmatic_SEO_Template'!J19)</x:f>
        <x:v>Yerel İşletmeler İçin ChatGPT Görünürlüğü: 12 Adımlı Rehber</x:v>
      </x:c>
      <x:c r="B19" s="117" t="str">
        <x:f>IF('Programmatic_SEO_Template'!L19="","",'Programmatic_SEO_Template'!L19)</x:f>
        <x:v>yerel işletme ChatGPT görünürlüğü</x:v>
      </x:c>
      <x:c r="C19" s="117" t="str">
        <x:f>IF('Programmatic_SEO_Template'!M19="","",'Programmatic_SEO_Template'!M19)</x:f>
        <x:v>Bilgilendirici / ticari araştırma</x:v>
      </x:c>
      <x:c r="D19" s="117" t="str">
        <x:f>IF('Programmatic_SEO_Template'!O19="","",'Programmatic_SEO_Template'!O19)</x:f>
        <x:v>Yerel İşletmeler İçin ChatGPT Görünürlüğü</x:v>
      </x:c>
      <x:c r="E19" s="117" t="str">
        <x:f>IF('Programmatic_SEO_Template'!Q19="","",'Programmatic_SEO_Template'!Q19)</x:f>
        <x:v>Yerel işletme ChatGPT görünürlüğü nasıl artırılır ve AI yerel arama sonuçları nasıl ölçülür? 12 adımı uygulayın, konum bazlı promptları düzenli test edin.</x:v>
      </x:c>
      <x:c r="F19" s="117" t="str">
        <x:f>IF('Programmatic_SEO_Template'!S19="","",'Programmatic_SEO_Template'!S19)</x:f>
        <x:v>TEMPLATE: Contact Studios How-To — ürün tie-in
    HEDEF UZUNLUK: 1.500–2.000 kelime; 2.500 kelimeyi geçme.
    OKUYUCU: Yerel işletme sahipleri, çok lokasyonlu markalar, yerel SEO ajansları
    FUNNEL AŞAMASI: Değerlendirme
    ARAMA NİYETİ: Bilgilendirici / ticari araştırma
    TON: Profesyonel, anlaşılır, kanıta dayalı ve tarafsız. Reklam dili, abartı, “garantili görünürlük” ve doğrulanmamış üstünlük iddiaları kullanma.
    ANAHTAR KELİMELER
    - Birincil: yerel işletme ChatGPT görünürlüğü
    - İlgili/uzun kuyruklu: yerel AI görünürlük, ChatGPT yerel işletme önerileri, AI local SEO, GEO local business, Google Business Profile AI, LocalBusiness schema, konum bazlı AI arama, ChatGPT restoran önerisi, AI yerel citation, yerel marka mention, AI local prompts, çok lokasyonlu GEO
    - Birincil anahtar kelimeyi ilk 100 kelime içinde doğal biçimde kullan.
    - Anahtar kelimeyi en az 3 başlıkta doğal ve dilbilgisel olarak kullan; keyword stuffing yapma.
    AÇILIŞ
    - H1: Yerel İşletmeler İçin ChatGPT Görünürlüğü: 12 Adımlı Rehber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Yerel SEO rehberleri Google Maps’e odaklanıyor; AI rehberleri ise lokasyon hassasiyeti, Business Profile, yerel citation ve semt bazlı promptları yeterince işlemiyor.
    ZORUNLU ÖZGÜN KANIT / PROPRIETARY INFORMATION
    Bir şehir ve kategori için 25 konum bazlı promptu farklı semt/niyet kombinasyonlarında test edin; Google Business Profile tutarlılığı ve üçüncü taraf kaynaklarla görünürlük ilişkisini tabloya ekleyin.
    Bu çalışma yapılmadan yazıyı yayıma hazır sayma. Test tarihi, prompt sayısı, platformlar, dil/ülke ve yöntem açıkça belirtilsin. Veri üretilemezse sonuç uydurma; “test henüz yapılmadı” notu bırak.
    İÇERİK PLANI
    H2 — Yerel İşletmelerde ChatGPT Görünürlüğü Nedir?
Belirli bir şehir, semt veya 'yakınımdaki' bağlamında markanın önerilme ve doğru bilgiyle sunulma olasılığı olarak tanımlayın.
H2 — Yerel AI Görünürlüğünü Etkileyen Temel Varlıklar
Google Business Profile, site, LocalBusiness schema, yerel dizinler, medya, review ve tutarlı NAP.
H2 — 1. Kategori ve Hizmet Tanımını Netleştirin
Ana kategori, alt hizmet ve hedef bölge.
H2 — 2. Google Business Profile Bilgilerini Güncelleyin
Adres, telefon, saat, kategori, fotoğraf ve hizmetler.
H2 — 3. Site Üzerinde Konum Sayfaları Oluşturun
Kopya şehir sayfalarından kaçının; özgün hizmet, ekip, vaka ve yerel bilgi.
H2 — 4. LocalBusiness Schema Kullanın
İçerikle tutarlı alanlar.
H2 — 5. Yerel Otorite ve Citation Kazanın
Yerel medya, oda, birlik, etkinlik, uzman kaynak.
H2 — 6. Review Stratejisini Etik Yürütün
Gerçek müşteri geri bildirimi, yanıt ve tutarlılık.
H2 — 7. Konum Bazlı Prompt Seti Kurun
Şehir, semt, ihtiyaç, bütçe, açık saat ve karşılaştırma örnekleri.
H2 — 8. Bilgi Doğruluğunu Ölçün
Adres, saat, hizmet ve marka tanımı.
H2 — 9. Rakip ve Kaynak Boşluğunu Analiz Edin
Hangi yerel kaynaklar tekrar ediliyor?
H2 — 10. Çok Lokasyonlu Yapıyı Ayrı İzleyin
Lokasyon bazlı dashboard ve içerik sahipliği.
H2 — 11. Değişiklikleri Yeniden Test Edin
Aynı prompt, tarih ve lokasyon.
H2 — 12. GA4 ve Lead Verisini Eşleyin
Referral, landing page, arama/rezervasyon/lead.
H2 — Sonuç
Yerel görünürlüğün doğruluk + otorite + konum ölçümü olduğunu özetleyin.
    SONUÇ
    - 100–150 kelime.
    - Yalnızca ana bulguları özetle; yeni bilgi veya yeni iddia ekleme.
    - CTA’yı tek paragrafta, doğal ve baskısız biçimde kullan.
    SSS
    3–7 soru kullan; aşağıdaki sorular long-tail hedefleridir ve mevcut H2’leri tekrar etmemelidir:
    - ChatGPT yakınımdaki işletmeleri nasıl önerir?
- Google Business Profile ChatGPT görünürlüğünü etkiler mi?
- LocalBusiness schema yerel AI aramada işe yarar mı?
- Yerel işletme kaç konum promptu izlemeli?
- Yanlış çalışma saatleri AI yanıtında nasıl düzeltilir?
    Her cevap 1–3 cümle olsun; soruyu cevabın içinde doğal biçimde tekrar et.
    İÇ LİNKLER
    - /oai-searchbot-gptbot-robots-txt/ — “AI crawler erişimi”
- /ai-arama-schema-markup/ — “LocalBusiness schema”
    Gelecek URL henüz yayımlanmadıysa linki kırık bırakma; içerik yayımlandıktan sonra eklenmek üzere editör notu koy.
    GÖRSEL ÖNERİLERİ
    - yerel-isletme-chatgpt-kapak.webp | Alt: Şehir haritası üzerinde ChatGPT yerel işletme önerileri kapak görseli
- yerel-ai-varliklari.webp | Alt: Business Profile site schema review ve citation diyagramı
- konum-prompt-matrisi.webp | Alt: Şehir semt ve niyet bazlı yerel AI prompt matrisi
- yerel-ai-dashboard.webp | Alt: Lokasyon bazlı AI görünürlük dashboard örneği
    Kapak + en az 3 ek görsel kullan. Ekran görüntülerinde tarih ve veri kaynağı belirt; kişisel/müşteri verilerini maskele.
    KAYNAKLAR
    Öncelikle resmi ve birincil kaynakları kullan:
    - https://developers.google.com/search/docs/fundamentals/ai-optimization-guide
- https://developers.google.com/search/docs/appearance/structured-data/local-business
- https://developers.google.com/search/docs/appearance/establish-business-details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19" s="117" t="str">
        <x:f>IF('Programmatic_SEO_Template'!T19="","",'Programmatic_SEO_Template'!T19)</x:f>
        <x:v>Yazıdaki ölçüm yöntemini kendi marka verinizle test etmek için Rank Prompt’u bu bağlantıdan inceleyebilirsiniz: https://join.rankprompt.com/zzzuy8sjj9ke-xj5vs Araç, görünürlük ölçümü ve boşluk analizi için kullanılabilir; sonuç veya sıralama garantisi vermez. Şeffaflık notu: Bu bir iş ortaklığı bağlantısıdır; kayıt veya satın alma halinde Ortak Alan komisyon kazanabilir.</x:v>
      </x:c>
    </x:row>
    <x:row r="20" ht="84" customHeight="1">
      <x:c r="A20" s="117" t="str">
        <x:f>IF('Programmatic_SEO_Template'!J20="","",'Programmatic_SEO_Template'!J20)</x:f>
        <x:v>Ajanslar AI Görünürlük Hizmetini Nasıl Paketler ve Fiyatlandırır?</x:v>
      </x:c>
      <x:c r="B20" s="117" t="str">
        <x:f>IF('Programmatic_SEO_Template'!L20="","",'Programmatic_SEO_Template'!L20)</x:f>
        <x:v>ajans AI görünürlük hizmeti</x:v>
      </x:c>
      <x:c r="C20" s="117" t="str">
        <x:f>IF('Programmatic_SEO_Template'!M20="","",'Programmatic_SEO_Template'!M20)</x:f>
        <x:v>Ticari araştırma / işlemsel</x:v>
      </x:c>
      <x:c r="D20" s="117" t="str">
        <x:f>IF('Programmatic_SEO_Template'!O20="","",'Programmatic_SEO_Template'!O20)</x:f>
        <x:v>Ajanslar AI Görünürlük Hizmetini Nasıl Satar?</x:v>
      </x:c>
      <x:c r="E20" s="117" t="str">
        <x:f>IF('Programmatic_SEO_Template'!Q20="","",'Programmatic_SEO_Template'!Q20)</x:f>
        <x:v>Ajans AI görünürlük hizmeti nasıl paketlenir, GEO danışmanlığı nasıl fiyatlandırılır? Teklif modelini kurun, aylık raporlamayı pilot müşteriyle test edin.</x:v>
      </x:c>
      <x:c r="F20" s="117" t="str">
        <x:f>IF('Programmatic_SEO_Template'!S20="","",'Programmatic_SEO_Template'!S20)</x:f>
        <x:v>TEMPLATE: Contact Studios How-To — ürün tie-in
    HEDEF UZUNLUK: 1.500–2.000 kelime; 2.500 kelimeyi geçme.
    OKUYUCU: SEO ve dijital pazarlama ajansı sahipleri, danışmanlar
    FUNNEL AŞAMASI: Karar
    ARAMA NİYETİ: Ticari araştırma / işlemsel
    TON: Profesyonel, anlaşılır, kanıta dayalı ve tarafsız. Reklam dili, abartı, “garantili görünürlük” ve doğrulanmamış üstünlük iddiaları kullanma.
    ANAHTAR KELİMELER
    - Birincil: ajans AI görünürlük hizmeti
    - İlgili/uzun kuyruklu: GEO ajans hizmeti, AI visibility service, AEO danışmanlığı, AI SEO ajansı, ChatGPT görünürlük hizmeti, GEO fiyatlandırma, AI audit hizmeti, ajans AI raporlama, LLM monitoring service, AI visibility retainer, GEO teklif şablonu, AI görünürlük müşteri raporu
    - Birincil anahtar kelimeyi ilk 100 kelime içinde doğal biçimde kullan.
    - Anahtar kelimeyi en az 3 başlıkta doğal ve dilbilgisel olarak kullan; keyword stuffing yapma.
    AÇILIŞ
    - H1: Ajanslar AI Görünürlük Hizmetini Nasıl Paketler ve Fiyatlandırır?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Rakip içerikler hizmet fırsatını anlatıyor ama scope, teslimat, SLA, metodoloji, maliyet ve yanlış vaat riskini detaylandırmıyor.
    ZORUNLU ÖZGÜN KANIT / PROPRIETARY INFORMATION
    Üç paket için gerçek maliyet modeli oluşturun: prompt kredisi, uzman saati, raporlama, içerik ve outreach maliyeti. Kâr marjı formülünü örnek rakamlarla, ancak 'örnek' etiketiyle yayınlayın.
    Bu çalışma yapılmadan yazıyı yayıma hazır sayma. Test tarihi, prompt sayısı, platformlar, dil/ülke ve yöntem açıkça belirtilsin. Veri üretilemezse sonuç uydurma; “test henüz yapılmadı” notu bırak.
    İÇERİK PLANI
    H2 — AI Görünürlük Hizmeti Nedir?
Ajansın müşteri markasını AI yanıtlarında ölçmesi, boşlukları teşhis etmesi ve iyileştirme çalışmalarını raporlaması olarak tanımlayın.
H2 — Müşteriye Satılabilecek 4 Teslimat
Baseline audit, aylık monitoring, content/schema optimization, citation/PR programı.
H2 — 1. İdeal Müşteri Profilini Belirleyin
SaaS, e-ticaret, profesyonel hizmetler, çok lokasyonlu işletmeler; yeterli talep ve içerik varlığı.
H2 — 2. Scope ve Metodolojiyi Yazılı Hale Getirin
Platform, prompt sayısı, dil/ülke, rakip sayısı, tekrar, rapor sıklığı.
H2 — 3. Üç Paket Oluşturun
H3: Audit; H3: Monitor; H3: Optimize. Her pakette dahil/hariç işler, teslim süresi ve KPI.
H2 — 4. Maliyet ve Fiyat Modeli Kurun
Araç/kredi, insan saati, içerik, PR, QA, müşteri yönetimi ve marj.
H2 — 5. İlk Pilot Müşteriyi Seçin
Baseline, 90 günlük hedef, değişiklik günlüğü ve vaka izni.
H2 — 6. Aylık Rapor ve Toplantı Akışı Kurun
Yönetici özeti, prompt gaps, citation, aksiyon, sahip ve son tarih.
H2 — 7. Garanti ve Risk Dilini Doğru Kullanın
AI model sonuçlarını garanti etmeyin; metodoloji ve olasılık dili kullanın.
H2 — 8. Operasyonu Ölçeklendirin
Şablonlar, otomasyon, QA, white-label portal, API ve rol dağılımı.
H2 — Rank Prompt Ajans Operasyonunda Nerede Konumlanır?
Çoklu marka, raporlama, rakip/prompt izleme ve ajans özelliklerini resmi siteden güncel kontrol ederek anlatın; alternatifleri de adil biçimde anın.
H2 — Sonuç
Ölçüm + strateji + uygulama + raporlama bütününü özetleyin.
    SONUÇ
    - 100–150 kelime.
    - Yalnızca ana bulguları özetle; yeni bilgi veya yeni iddia ekleme.
    - CTA’yı tek paragrafta, doğal ve baskısız biçimde kullan.
    SSS
    3–7 soru kullan; aşağıdaki sorular long-tail hedefleridir ve mevcut H2’leri tekrar etmemelidir:
    - GEO danışmanlığı ne kadar ücretlendirilir?
- AI görünürlük hizmetinde hangi KPI’lar raporlanır?
- Ajans müşteriye AI sıralama garantisi verebilir mi?
- AI visibility audit kaç prompt içermeli?
- Ajanslar hangi AI görünürlük aracını seçmeli?
    Her cevap 1–3 cümle olsun; soruyu cevabın içinde doğal biçimde tekrar et.
    İÇ LİNKLER
    - /ai-gorunurluk-raporu/ — “müşteri AI görünürlük raporu”
- /ai-arama-rakip-analizi/ — “prompt bazlı rakip analizi”
- /rank-prompt-nedir/ — “ajanslar için AI görünürlük platformu”
    Gelecek URL henüz yayımlanmadıysa linki kırık bırakma; içerik yayımlandıktan sonra eklenmek üzere editör notu koy.
    GÖRSEL ÖNERİLERİ
    - ajans-ai-gorunurluk-hizmeti-kapak.webp | Alt: Ajansın müşteriye AI görünürlük hizmeti sunduğunu gösteren kapak
- ai-hizmet-paketleri.webp | Alt: Audit monitor ve optimize paket karşılaştırması
- geo-maliyet-modeli.webp | Alt: GEO hizmeti maliyet ve marj hesaplama tablosu
- ajans-ai-rapor-akisi.webp | Alt: Aylık AI görünürlük rapor ve toplantı akışı
    Kapak + en az 3 ek görsel kullan. Ekran görüntülerinde tarih ve veri kaynağı belirt; kişisel/müşteri verilerini maskele.
    KAYNAKLAR
    Öncelikle resmi ve birincil kaynakları kullan:
    - https://rankprompt.com/use-cases/agencies/
- https://rankprompt.com/geo-for-agencies/
- https://rankprompt.com/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0" s="117" t="str">
        <x:f>IF('Programmatic_SEO_Template'!T20="","",'Programmatic_SEO_Template'!T20)</x:f>
        <x:v>Müşteri bazlı AI görünürlük raporlamasını manuel yürütüyorsanız Rank Prompt’un ajans iş akışını bu bağlantıdan inceleyebilirsiniz: https://join.rankprompt.com/zzzuy8sjj9ke-xj5vs Önce tek bir pilot müşteri ve sabit prompt setiyle test edin. Şeffaflık notu: Bu bir iş ortaklığı bağlantısıdır; kayıt veya satın alma halinde Ortak Alan komisyon kazanabilir.</x:v>
      </x:c>
    </x:row>
    <x:row r="21" ht="84" customHeight="1">
      <x:c r="A21" s="117" t="str">
        <x:f>IF('Programmatic_SEO_Template'!J21="","",'Programmatic_SEO_Template'!J21)</x:f>
        <x:v>En İyi AI Görünürlük Araçları 2026: 8 Platformu Nasıl Seçmeli?</x:v>
      </x:c>
      <x:c r="B21" s="117" t="str">
        <x:f>IF('Programmatic_SEO_Template'!L21="","",'Programmatic_SEO_Template'!L21)</x:f>
        <x:v>en iyi AI görünürlük araçları</x:v>
      </x:c>
      <x:c r="C21" s="117" t="str">
        <x:f>IF('Programmatic_SEO_Template'!M21="","",'Programmatic_SEO_Template'!M21)</x:f>
        <x:v>Ticari araştırma</x:v>
      </x:c>
      <x:c r="D21" s="117" t="str">
        <x:f>IF('Programmatic_SEO_Template'!O21="","",'Programmatic_SEO_Template'!O21)</x:f>
        <x:v>En İyi AI Görünürlük Araçları 2026</x:v>
      </x:c>
      <x:c r="E21" s="117" t="str">
        <x:f>IF('Programmatic_SEO_Template'!Q21="","",'Programmatic_SEO_Template'!Q21)</x:f>
        <x:v>En iyi AI görünürlük araçları 2026 listesinde ChatGPT takip araçlarını kapsam, citation ve ajans özellikleriyle karşılaştırın; ekibinize uygun aracı seçin.</x:v>
      </x:c>
      <x:c r="F21" s="117" t="str">
        <x:f>IF('Programmatic_SEO_Template'!S21="","",'Programmatic_SEO_Template'!S21)</x:f>
        <x:v>TEMPLATE: Contact Studios Best-Of
    HEDEF UZUNLUK: 1.500–2.000 kelime; 2.500 kelimeyi geçme.
    OKUYUCU: SEO yöneticileri, ajanslar, SaaS ve e-ticaret pazarlama ekipleri
    FUNNEL AŞAMASI: Karar
    ARAMA NİYETİ: Ticari araştırma
    TON: Profesyonel, anlaşılır, kanıta dayalı ve tarafsız. Reklam dili, abartı, “garantili görünürlük” ve doğrulanmamış üstünlük iddiaları kullanma.
    ANAHTAR KELİMELER
    - Birincil: en iyi AI görünürlük araçları
    - İlgili/uzun kuyruklu: AI visibility tools, ChatGPT visibility tools, GEO tools, AEO tools, LLM tracking tools, AI brand monitoring, AI citation tracking tools, AI search analytics, Rank Prompt alternatifleri, Profound vs Peec AI, Otterly AI inceleme, AI visibility software
    - Birincil anahtar kelimeyi ilk 100 kelime içinde doğal biçimde kullan.
    - Anahtar kelimeyi en az 3 başlıkta doğal ve dilbilgisel olarak kullan; keyword stuffing yapma.
    AÇILIŞ
    - H1: En İyi AI Görünürlük Araçları 2026: 8 Platformu Nasıl Seçmeli?
    - 100–160 kelimelik giriş yaz. İlk 1–2 cümlede ana soruya doğrudan cevap ver.
    - Girişten hemen sonra “Key Points / Öne Çıkanlar” bölümünde 4–6 madde kullan. Her madde 1–2 cümle olsun ve yazının ana sonucunu önden versin.
    - Üründen ilk paragrafta satış diliyle söz etme; yalnızca konu için gerekli olduğu yerde nesnel biçimde an.
    REKABET BOŞLUĞU
    Türkçe listeler çoğunlukla fiyat ve platform sayısını tekrar ediyor. Bu yazı metodoloji şeffaflığı, prompt kontrolü, citation derinliği, veri export/API, ajans workflow’u ve toplam maliyeti karşılaştırmalı.
    ZORUNLU ÖZGÜN KANIT / PROPRIETARY INFORMATION
    Aynı 10 promptu mümkün olan araçlarda test edin ve veri tazeliği, platform kapsamı, citation ayrıntısı, export, onboarding süresi ve toplam maliyet üzerinden şeffaf puanlama rubriği yayınlayın. Test edilemeyen özellikleri açıkça 'resmi bilgi' olarak etiketleyin.
    Bu çalışma yapılmadan yazıyı yayıma hazır sayma. Test tarihi, prompt sayısı, platformlar, dil/ülke ve yöntem açıkça belirtilsin. Veri üretilemezse sonuç uydurma; “test henüz yapılmadı” notu bırak.
    İÇERİK PLANI
    H2 — En İyi AI Görünürlük Araçları
İlk H2 altında 8 aracı anchor linkli kısa liste olarak verin: Rank Prompt, Semrush, Ahrefs Brand Radar, Profound, Peec AI, Otterly.ai, SE Ranking ve Writesonic. Yayın gününde resmi kapsamı doğrulayın.
H2 — Araçları Nasıl Değerlendirdik?
Test tarihi, aynı prompt seti, platform kapsamı, citation, rakip analizi, trend, export/API, ajans özellikleri, fiyat ve kullanım kolaylığı kriterleri.
H2 — 1. Rank Prompt — Aksiyon ve Ajans İş Akışı İçin
Kendi ürününüz gibi yazmayın; resmi özellikleri, güçlü yanları, sınırlamaları, güncel fiyatı ve ideal kullanıcıyı tarafsız sunun.
H2 — 2. Semrush — Klasik SEO ile AI Takibini Birleştiren Ekipler İçin
Resmi site ve güncel fiyatla doğrulayın; güçlü ve zayıf yönleri.
H2 — 3. Ahrefs Brand Radar — Ahrefs Ekosistemindeki Ekipler İçin
Aynı yapı.
H2 — 4. Profound — Kurumsal Analiz ve Yönetişim İçin
Aynı yapı.
H2 — 5. Peec AI — Share of Voice ve Pazar Görünümü İçin
Aynı yapı.
H2 — 6. Otterly.ai — Daha Hafif Monitoring İhtiyacı İçin
Aynı yapı.
H2 — 7. SE Ranking — Birleşik SEO Platformu Arayanlar İçin
Aynı yapı.
H2 — 8. Writesonic — İçerik ve AI Görünürlüğünü Birleştirenler İçin
Aynı yapı.
H2 — AI Görünürlük Aracı Seçerken 10 Kriter
Platform, lokasyon/dil, prompt kontrolü, citation, rakip, trend, export/API, entegrasyon, ajans özellikleri, toplam maliyet.
H2 — Karşılaştırma Tablosu
Tüm araçlar için test edildi/resmi bilgi ayrımını işaretleyin; fiyatlara 'kontrol tarihi' ekleyin.
H2 — Hangi Araç Kimin İçin Uygun?
Solo, in-house SEO, içerik ekibi, ajans, enterprise senaryoları.
H2 — Sonuç
Tek bir 'herkes için en iyi' olmadığını; kullanım senaryosuna göre seçim yapılması gerektiğini özetleyin.
    SONUÇ
    - 100–150 kelime.
    - Yalnızca ana bulguları özetle; yeni bilgi veya yeni iddia ekleme.
    - CTA’yı tek paragrafta, doğal ve baskısız biçimde kullan.
    SSS
    3–7 soru kullan; aşağıdaki sorular long-tail hedefleridir ve mevcut H2’leri tekrar etmemelidir:
    - AI görünürlük aracı ne işe yarar?
- Ücretsiz ChatGPT görünürlük takip aracı var mı?
- AI visibility tool ile SEO aracı arasındaki fark nedir?
- Ajanslar için en iyi GEO aracı hangisidir?
- AI görünürlük araçlarının sonuçları neden farklıdır?
    Her cevap 1–3 cümle olsun; soruyu cevabın içinde doğal biçimde tekrar et.
    İÇ LİNKLER
    - /rank-prompt-nedir/ — “Rank Prompt incelemesi”
- /llm-gorunurluk-takibi/ — “LLM görünürlük takibi”
- /ajans-ai-gorunurluk-hizmeti/ — “ajans AI görünürlük operasyonu”
    Gelecek URL henüz yayımlanmadıysa linki kırık bırakma; içerik yayımlandıktan sonra eklenmek üzere editör notu koy.
    GÖRSEL ÖNERİLERİ
    - en-iyi-ai-gorunurluk-araclari-kapak.webp | Alt: 2026 AI görünürlük araçları karşılaştırma kapak görseli
- ai-arac-degerlendirme-rubrigi.webp | Alt: AI görünürlük araçları puanlama rubriği
- ai-gorunurluk-araclari-tablosu.webp | Alt: Sekiz AI görünürlük aracını karşılaştıran tablo
- hangi-ai-araci.webp | Alt: Kullanım senaryosuna göre AI görünürlük aracı seçim ağacı
    Kapak + en az 3 ek görsel kullan. Ekran görüntülerinde tarih ve veri kaynağı belirt; kişisel/müşteri verilerini maskele.
    KAYNAKLAR
    Öncelikle resmi ve birincil kaynakları kullan:
    - https://rankprompt.com/
- https://rankprompt.com/pricing/
- https://developers.google.com/search/docs/fundamentals/third-party-seo
    Rakip sitelere dış link verme. Yazı sonunda “References” bölümü aç; iddiaları tarihli ve doğrulanabilir kaynaklarla destekle.
    YAYIN ÖNCESİ KONTROLLER
    - Meta title 60 karakterin altında, meta description 150–160 karakter.
    - Fiyat, platform kapsamı ve ürün özelliklerini yayın günü resmi siteden yeniden doğrula.
    - Rank Prompt’u ölçüm/analiz aracı olarak anlat; Google veya AI platformları adına onay/garanti ima etme.
    - Google’ın resmi rehberleriyle çelişen “özel GEO hack”, zorunlu llms.txt, garantili schema etkisi gibi iddialardan kaçın.
    - Her bölümün ilk cümlesi o bölümün en önemli bilgisini versin.
    - Aynı fikri farklı başlıklarla tekrarlama.
    - İş ortaklığı açıklamasını CTA yakınında görünür biçimde ekle.</x:v>
      </x:c>
      <x:c r="G21" s="117" t="str">
        <x:f>IF('Programmatic_SEO_Template'!T21="","",'Programmatic_SEO_Template'!T21)</x:f>
        <x:v>Karşılaştırma kriterleriniz Rank Prompt’la örtüşüyorsa platformu bu bağlantıdan inceleyebilirsiniz: https://join.rankprompt.com/zzzuy8sjj9ke-xj5vs Araç seçimini kendi prompt setinizle test ederek yapın; hiçbir platform görünürlük veya sıralama garantisi vermez. Şeffaflık notu: Bu bir iş ortaklığı bağlantısıdır; kayıt veya satın alma halinde Ortak Alan komisyon kazanabilir.</x:v>
      </x:c>
    </x:row>
    <x:row r="22" ht="84" customHeight="1">
      <x:c r="A22" s="117" t="str">
        <x:f>IF('Programmatic_SEO_Template'!J22="","",'Programmatic_SEO_Template'!J22)</x:f>
      </x:c>
      <x:c r="B22" s="117" t="str">
        <x:f>IF('Programmatic_SEO_Template'!L22="","",'Programmatic_SEO_Template'!L22)</x:f>
      </x:c>
      <x:c r="C22" s="117" t="str">
        <x:f>IF('Programmatic_SEO_Template'!M22="","",'Programmatic_SEO_Template'!M22)</x:f>
      </x:c>
      <x:c r="D22" s="117" t="str">
        <x:f>IF('Programmatic_SEO_Template'!O22="","",'Programmatic_SEO_Template'!O22)</x:f>
      </x:c>
      <x:c r="E22" s="117" t="str">
        <x:f>IF('Programmatic_SEO_Template'!Q22="","",'Programmatic_SEO_Template'!Q22)</x:f>
      </x:c>
      <x:c r="F22" s="117" t="str">
        <x:f>IF('Programmatic_SEO_Template'!S22="","",'Programmatic_SEO_Template'!S22)</x:f>
      </x:c>
      <x:c r="G22" s="117" t="str">
        <x:f>IF('Programmatic_SEO_Template'!T22="","",'Programmatic_SEO_Template'!T22)</x:f>
      </x:c>
    </x:row>
    <x:row r="23" ht="84" customHeight="1">
      <x:c r="A23" s="117" t="str">
        <x:f>IF('Programmatic_SEO_Template'!J23="","",'Programmatic_SEO_Template'!J23)</x:f>
      </x:c>
      <x:c r="B23" s="117" t="str">
        <x:f>IF('Programmatic_SEO_Template'!L23="","",'Programmatic_SEO_Template'!L23)</x:f>
      </x:c>
      <x:c r="C23" s="117" t="str">
        <x:f>IF('Programmatic_SEO_Template'!M23="","",'Programmatic_SEO_Template'!M23)</x:f>
      </x:c>
      <x:c r="D23" s="117" t="str">
        <x:f>IF('Programmatic_SEO_Template'!O23="","",'Programmatic_SEO_Template'!O23)</x:f>
      </x:c>
      <x:c r="E23" s="117" t="str">
        <x:f>IF('Programmatic_SEO_Template'!Q23="","",'Programmatic_SEO_Template'!Q23)</x:f>
      </x:c>
      <x:c r="F23" s="117" t="str">
        <x:f>IF('Programmatic_SEO_Template'!S23="","",'Programmatic_SEO_Template'!S23)</x:f>
      </x:c>
      <x:c r="G23" s="117" t="str">
        <x:f>IF('Programmatic_SEO_Template'!T23="","",'Programmatic_SEO_Template'!T23)</x:f>
      </x:c>
    </x:row>
    <x:row r="24" ht="84" customHeight="1">
      <x:c r="A24" s="117" t="str">
        <x:f>IF('Programmatic_SEO_Template'!J24="","",'Programmatic_SEO_Template'!J24)</x:f>
      </x:c>
      <x:c r="B24" s="117" t="str">
        <x:f>IF('Programmatic_SEO_Template'!L24="","",'Programmatic_SEO_Template'!L24)</x:f>
      </x:c>
      <x:c r="C24" s="117" t="str">
        <x:f>IF('Programmatic_SEO_Template'!M24="","",'Programmatic_SEO_Template'!M24)</x:f>
      </x:c>
      <x:c r="D24" s="117" t="str">
        <x:f>IF('Programmatic_SEO_Template'!O24="","",'Programmatic_SEO_Template'!O24)</x:f>
      </x:c>
      <x:c r="E24" s="117" t="str">
        <x:f>IF('Programmatic_SEO_Template'!Q24="","",'Programmatic_SEO_Template'!Q24)</x:f>
      </x:c>
      <x:c r="F24" s="117" t="str">
        <x:f>IF('Programmatic_SEO_Template'!S24="","",'Programmatic_SEO_Template'!S24)</x:f>
      </x:c>
      <x:c r="G24" s="117" t="str">
        <x:f>IF('Programmatic_SEO_Template'!T24="","",'Programmatic_SEO_Template'!T24)</x:f>
      </x:c>
    </x:row>
    <x:row r="25" ht="84" customHeight="1">
      <x:c r="A25" s="117" t="str">
        <x:f>IF('Programmatic_SEO_Template'!J25="","",'Programmatic_SEO_Template'!J25)</x:f>
      </x:c>
      <x:c r="B25" s="117" t="str">
        <x:f>IF('Programmatic_SEO_Template'!L25="","",'Programmatic_SEO_Template'!L25)</x:f>
      </x:c>
      <x:c r="C25" s="117" t="str">
        <x:f>IF('Programmatic_SEO_Template'!M25="","",'Programmatic_SEO_Template'!M25)</x:f>
      </x:c>
      <x:c r="D25" s="117" t="str">
        <x:f>IF('Programmatic_SEO_Template'!O25="","",'Programmatic_SEO_Template'!O25)</x:f>
      </x:c>
      <x:c r="E25" s="117" t="str">
        <x:f>IF('Programmatic_SEO_Template'!Q25="","",'Programmatic_SEO_Template'!Q25)</x:f>
      </x:c>
      <x:c r="F25" s="117" t="str">
        <x:f>IF('Programmatic_SEO_Template'!S25="","",'Programmatic_SEO_Template'!S25)</x:f>
      </x:c>
      <x:c r="G25" s="117" t="str">
        <x:f>IF('Programmatic_SEO_Template'!T25="","",'Programmatic_SEO_Template'!T25)</x:f>
      </x:c>
    </x:row>
    <x:row r="26" ht="84" customHeight="1">
      <x:c r="A26" s="117" t="str">
        <x:f>IF('Programmatic_SEO_Template'!J26="","",'Programmatic_SEO_Template'!J26)</x:f>
      </x:c>
      <x:c r="B26" s="117" t="str">
        <x:f>IF('Programmatic_SEO_Template'!L26="","",'Programmatic_SEO_Template'!L26)</x:f>
      </x:c>
      <x:c r="C26" s="117" t="str">
        <x:f>IF('Programmatic_SEO_Template'!M26="","",'Programmatic_SEO_Template'!M26)</x:f>
      </x:c>
      <x:c r="D26" s="117" t="str">
        <x:f>IF('Programmatic_SEO_Template'!O26="","",'Programmatic_SEO_Template'!O26)</x:f>
      </x:c>
      <x:c r="E26" s="117" t="str">
        <x:f>IF('Programmatic_SEO_Template'!Q26="","",'Programmatic_SEO_Template'!Q26)</x:f>
      </x:c>
      <x:c r="F26" s="117" t="str">
        <x:f>IF('Programmatic_SEO_Template'!S26="","",'Programmatic_SEO_Template'!S26)</x:f>
      </x:c>
      <x:c r="G26" s="117" t="str">
        <x:f>IF('Programmatic_SEO_Template'!T26="","",'Programmatic_SEO_Template'!T26)</x:f>
      </x:c>
    </x:row>
    <x:row r="27" ht="84" customHeight="1">
      <x:c r="A27" s="117" t="str">
        <x:f>IF('Programmatic_SEO_Template'!J27="","",'Programmatic_SEO_Template'!J27)</x:f>
      </x:c>
      <x:c r="B27" s="117" t="str">
        <x:f>IF('Programmatic_SEO_Template'!L27="","",'Programmatic_SEO_Template'!L27)</x:f>
      </x:c>
      <x:c r="C27" s="117" t="str">
        <x:f>IF('Programmatic_SEO_Template'!M27="","",'Programmatic_SEO_Template'!M27)</x:f>
      </x:c>
      <x:c r="D27" s="117" t="str">
        <x:f>IF('Programmatic_SEO_Template'!O27="","",'Programmatic_SEO_Template'!O27)</x:f>
      </x:c>
      <x:c r="E27" s="117" t="str">
        <x:f>IF('Programmatic_SEO_Template'!Q27="","",'Programmatic_SEO_Template'!Q27)</x:f>
      </x:c>
      <x:c r="F27" s="117" t="str">
        <x:f>IF('Programmatic_SEO_Template'!S27="","",'Programmatic_SEO_Template'!S27)</x:f>
      </x:c>
      <x:c r="G27" s="117" t="str">
        <x:f>IF('Programmatic_SEO_Template'!T27="","",'Programmatic_SEO_Template'!T27)</x:f>
      </x:c>
    </x:row>
    <x:row r="28" ht="84" customHeight="1">
      <x:c r="A28" s="117" t="str">
        <x:f>IF('Programmatic_SEO_Template'!J28="","",'Programmatic_SEO_Template'!J28)</x:f>
      </x:c>
      <x:c r="B28" s="117" t="str">
        <x:f>IF('Programmatic_SEO_Template'!L28="","",'Programmatic_SEO_Template'!L28)</x:f>
      </x:c>
      <x:c r="C28" s="117" t="str">
        <x:f>IF('Programmatic_SEO_Template'!M28="","",'Programmatic_SEO_Template'!M28)</x:f>
      </x:c>
      <x:c r="D28" s="117" t="str">
        <x:f>IF('Programmatic_SEO_Template'!O28="","",'Programmatic_SEO_Template'!O28)</x:f>
      </x:c>
      <x:c r="E28" s="117" t="str">
        <x:f>IF('Programmatic_SEO_Template'!Q28="","",'Programmatic_SEO_Template'!Q28)</x:f>
      </x:c>
      <x:c r="F28" s="117" t="str">
        <x:f>IF('Programmatic_SEO_Template'!S28="","",'Programmatic_SEO_Template'!S28)</x:f>
      </x:c>
      <x:c r="G28" s="117" t="str">
        <x:f>IF('Programmatic_SEO_Template'!T28="","",'Programmatic_SEO_Template'!T28)</x:f>
      </x:c>
    </x:row>
    <x:row r="29" ht="84" customHeight="1">
      <x:c r="A29" s="117" t="str">
        <x:f>IF('Programmatic_SEO_Template'!J29="","",'Programmatic_SEO_Template'!J29)</x:f>
      </x:c>
      <x:c r="B29" s="117" t="str">
        <x:f>IF('Programmatic_SEO_Template'!L29="","",'Programmatic_SEO_Template'!L29)</x:f>
      </x:c>
      <x:c r="C29" s="117" t="str">
        <x:f>IF('Programmatic_SEO_Template'!M29="","",'Programmatic_SEO_Template'!M29)</x:f>
      </x:c>
      <x:c r="D29" s="117" t="str">
        <x:f>IF('Programmatic_SEO_Template'!O29="","",'Programmatic_SEO_Template'!O29)</x:f>
      </x:c>
      <x:c r="E29" s="117" t="str">
        <x:f>IF('Programmatic_SEO_Template'!Q29="","",'Programmatic_SEO_Template'!Q29)</x:f>
      </x:c>
      <x:c r="F29" s="117" t="str">
        <x:f>IF('Programmatic_SEO_Template'!S29="","",'Programmatic_SEO_Template'!S29)</x:f>
      </x:c>
      <x:c r="G29" s="117" t="str">
        <x:f>IF('Programmatic_SEO_Template'!T29="","",'Programmatic_SEO_Template'!T29)</x:f>
      </x:c>
    </x:row>
    <x:row r="30" ht="84" customHeight="1">
      <x:c r="A30" s="117" t="str">
        <x:f>IF('Programmatic_SEO_Template'!J30="","",'Programmatic_SEO_Template'!J30)</x:f>
      </x:c>
      <x:c r="B30" s="117" t="str">
        <x:f>IF('Programmatic_SEO_Template'!L30="","",'Programmatic_SEO_Template'!L30)</x:f>
      </x:c>
      <x:c r="C30" s="117" t="str">
        <x:f>IF('Programmatic_SEO_Template'!M30="","",'Programmatic_SEO_Template'!M30)</x:f>
      </x:c>
      <x:c r="D30" s="117" t="str">
        <x:f>IF('Programmatic_SEO_Template'!O30="","",'Programmatic_SEO_Template'!O30)</x:f>
      </x:c>
      <x:c r="E30" s="117" t="str">
        <x:f>IF('Programmatic_SEO_Template'!Q30="","",'Programmatic_SEO_Template'!Q30)</x:f>
      </x:c>
      <x:c r="F30" s="117" t="str">
        <x:f>IF('Programmatic_SEO_Template'!S30="","",'Programmatic_SEO_Template'!S30)</x:f>
      </x:c>
      <x:c r="G30" s="117" t="str">
        <x:f>IF('Programmatic_SEO_Template'!T30="","",'Programmatic_SEO_Template'!T30)</x:f>
      </x:c>
    </x:row>
    <x:row r="31" ht="84" customHeight="1">
      <x:c r="A31" s="117" t="str">
        <x:f>IF('Programmatic_SEO_Template'!J31="","",'Programmatic_SEO_Template'!J31)</x:f>
      </x:c>
      <x:c r="B31" s="117" t="str">
        <x:f>IF('Programmatic_SEO_Template'!L31="","",'Programmatic_SEO_Template'!L31)</x:f>
      </x:c>
      <x:c r="C31" s="117" t="str">
        <x:f>IF('Programmatic_SEO_Template'!M31="","",'Programmatic_SEO_Template'!M31)</x:f>
      </x:c>
      <x:c r="D31" s="117" t="str">
        <x:f>IF('Programmatic_SEO_Template'!O31="","",'Programmatic_SEO_Template'!O31)</x:f>
      </x:c>
      <x:c r="E31" s="117" t="str">
        <x:f>IF('Programmatic_SEO_Template'!Q31="","",'Programmatic_SEO_Template'!Q31)</x:f>
      </x:c>
      <x:c r="F31" s="117" t="str">
        <x:f>IF('Programmatic_SEO_Template'!S31="","",'Programmatic_SEO_Template'!S31)</x:f>
      </x:c>
      <x:c r="G31" s="117" t="str">
        <x:f>IF('Programmatic_SEO_Template'!T31="","",'Programmatic_SEO_Template'!T31)</x:f>
      </x:c>
    </x:row>
    <x:row r="32" ht="84" customHeight="1">
      <x:c r="A32" s="117" t="str">
        <x:f>IF('Programmatic_SEO_Template'!J32="","",'Programmatic_SEO_Template'!J32)</x:f>
      </x:c>
      <x:c r="B32" s="117" t="str">
        <x:f>IF('Programmatic_SEO_Template'!L32="","",'Programmatic_SEO_Template'!L32)</x:f>
      </x:c>
      <x:c r="C32" s="117" t="str">
        <x:f>IF('Programmatic_SEO_Template'!M32="","",'Programmatic_SEO_Template'!M32)</x:f>
      </x:c>
      <x:c r="D32" s="117" t="str">
        <x:f>IF('Programmatic_SEO_Template'!O32="","",'Programmatic_SEO_Template'!O32)</x:f>
      </x:c>
      <x:c r="E32" s="117" t="str">
        <x:f>IF('Programmatic_SEO_Template'!Q32="","",'Programmatic_SEO_Template'!Q32)</x:f>
      </x:c>
      <x:c r="F32" s="117" t="str">
        <x:f>IF('Programmatic_SEO_Template'!S32="","",'Programmatic_SEO_Template'!S32)</x:f>
      </x:c>
      <x:c r="G32" s="117" t="str">
        <x:f>IF('Programmatic_SEO_Template'!T32="","",'Programmatic_SEO_Template'!T32)</x:f>
      </x:c>
    </x:row>
    <x:row r="33" ht="84" customHeight="1">
      <x:c r="A33" s="117" t="str">
        <x:f>IF('Programmatic_SEO_Template'!J33="","",'Programmatic_SEO_Template'!J33)</x:f>
      </x:c>
      <x:c r="B33" s="117" t="str">
        <x:f>IF('Programmatic_SEO_Template'!L33="","",'Programmatic_SEO_Template'!L33)</x:f>
      </x:c>
      <x:c r="C33" s="117" t="str">
        <x:f>IF('Programmatic_SEO_Template'!M33="","",'Programmatic_SEO_Template'!M33)</x:f>
      </x:c>
      <x:c r="D33" s="117" t="str">
        <x:f>IF('Programmatic_SEO_Template'!O33="","",'Programmatic_SEO_Template'!O33)</x:f>
      </x:c>
      <x:c r="E33" s="117" t="str">
        <x:f>IF('Programmatic_SEO_Template'!Q33="","",'Programmatic_SEO_Template'!Q33)</x:f>
      </x:c>
      <x:c r="F33" s="117" t="str">
        <x:f>IF('Programmatic_SEO_Template'!S33="","",'Programmatic_SEO_Template'!S33)</x:f>
      </x:c>
      <x:c r="G33" s="117" t="str">
        <x:f>IF('Programmatic_SEO_Template'!T33="","",'Programmatic_SEO_Template'!T33)</x:f>
      </x:c>
    </x:row>
    <x:row r="34" ht="84" customHeight="1">
      <x:c r="A34" s="117" t="str">
        <x:f>IF('Programmatic_SEO_Template'!J34="","",'Programmatic_SEO_Template'!J34)</x:f>
      </x:c>
      <x:c r="B34" s="117" t="str">
        <x:f>IF('Programmatic_SEO_Template'!L34="","",'Programmatic_SEO_Template'!L34)</x:f>
      </x:c>
      <x:c r="C34" s="117" t="str">
        <x:f>IF('Programmatic_SEO_Template'!M34="","",'Programmatic_SEO_Template'!M34)</x:f>
      </x:c>
      <x:c r="D34" s="117" t="str">
        <x:f>IF('Programmatic_SEO_Template'!O34="","",'Programmatic_SEO_Template'!O34)</x:f>
      </x:c>
      <x:c r="E34" s="117" t="str">
        <x:f>IF('Programmatic_SEO_Template'!Q34="","",'Programmatic_SEO_Template'!Q34)</x:f>
      </x:c>
      <x:c r="F34" s="117" t="str">
        <x:f>IF('Programmatic_SEO_Template'!S34="","",'Programmatic_SEO_Template'!S34)</x:f>
      </x:c>
      <x:c r="G34" s="117" t="str">
        <x:f>IF('Programmatic_SEO_Template'!T34="","",'Programmatic_SEO_Template'!T34)</x:f>
      </x:c>
    </x:row>
    <x:row r="35" ht="84" customHeight="1">
      <x:c r="A35" s="117" t="str">
        <x:f>IF('Programmatic_SEO_Template'!J35="","",'Programmatic_SEO_Template'!J35)</x:f>
      </x:c>
      <x:c r="B35" s="117" t="str">
        <x:f>IF('Programmatic_SEO_Template'!L35="","",'Programmatic_SEO_Template'!L35)</x:f>
      </x:c>
      <x:c r="C35" s="117" t="str">
        <x:f>IF('Programmatic_SEO_Template'!M35="","",'Programmatic_SEO_Template'!M35)</x:f>
      </x:c>
      <x:c r="D35" s="117" t="str">
        <x:f>IF('Programmatic_SEO_Template'!O35="","",'Programmatic_SEO_Template'!O35)</x:f>
      </x:c>
      <x:c r="E35" s="117" t="str">
        <x:f>IF('Programmatic_SEO_Template'!Q35="","",'Programmatic_SEO_Template'!Q35)</x:f>
      </x:c>
      <x:c r="F35" s="117" t="str">
        <x:f>IF('Programmatic_SEO_Template'!S35="","",'Programmatic_SEO_Template'!S35)</x:f>
      </x:c>
      <x:c r="G35" s="117" t="str">
        <x:f>IF('Programmatic_SEO_Template'!T35="","",'Programmatic_SEO_Template'!T35)</x:f>
      </x:c>
    </x:row>
    <x:row r="36" ht="84" customHeight="1">
      <x:c r="A36" s="117" t="str">
        <x:f>IF('Programmatic_SEO_Template'!J36="","",'Programmatic_SEO_Template'!J36)</x:f>
      </x:c>
      <x:c r="B36" s="117" t="str">
        <x:f>IF('Programmatic_SEO_Template'!L36="","",'Programmatic_SEO_Template'!L36)</x:f>
      </x:c>
      <x:c r="C36" s="117" t="str">
        <x:f>IF('Programmatic_SEO_Template'!M36="","",'Programmatic_SEO_Template'!M36)</x:f>
      </x:c>
      <x:c r="D36" s="117" t="str">
        <x:f>IF('Programmatic_SEO_Template'!O36="","",'Programmatic_SEO_Template'!O36)</x:f>
      </x:c>
      <x:c r="E36" s="117" t="str">
        <x:f>IF('Programmatic_SEO_Template'!Q36="","",'Programmatic_SEO_Template'!Q36)</x:f>
      </x:c>
      <x:c r="F36" s="117" t="str">
        <x:f>IF('Programmatic_SEO_Template'!S36="","",'Programmatic_SEO_Template'!S36)</x:f>
      </x:c>
      <x:c r="G36" s="117" t="str">
        <x:f>IF('Programmatic_SEO_Template'!T36="","",'Programmatic_SEO_Template'!T36)</x:f>
      </x:c>
    </x:row>
    <x:row r="37" ht="84" customHeight="1">
      <x:c r="A37" s="117" t="str">
        <x:f>IF('Programmatic_SEO_Template'!J37="","",'Programmatic_SEO_Template'!J37)</x:f>
      </x:c>
      <x:c r="B37" s="117" t="str">
        <x:f>IF('Programmatic_SEO_Template'!L37="","",'Programmatic_SEO_Template'!L37)</x:f>
      </x:c>
      <x:c r="C37" s="117" t="str">
        <x:f>IF('Programmatic_SEO_Template'!M37="","",'Programmatic_SEO_Template'!M37)</x:f>
      </x:c>
      <x:c r="D37" s="117" t="str">
        <x:f>IF('Programmatic_SEO_Template'!O37="","",'Programmatic_SEO_Template'!O37)</x:f>
      </x:c>
      <x:c r="E37" s="117" t="str">
        <x:f>IF('Programmatic_SEO_Template'!Q37="","",'Programmatic_SEO_Template'!Q37)</x:f>
      </x:c>
      <x:c r="F37" s="117" t="str">
        <x:f>IF('Programmatic_SEO_Template'!S37="","",'Programmatic_SEO_Template'!S37)</x:f>
      </x:c>
      <x:c r="G37" s="117" t="str">
        <x:f>IF('Programmatic_SEO_Template'!T37="","",'Programmatic_SEO_Template'!T37)</x:f>
      </x:c>
    </x:row>
    <x:row r="38" ht="84" customHeight="1">
      <x:c r="A38" s="117" t="str">
        <x:f>IF('Programmatic_SEO_Template'!J38="","",'Programmatic_SEO_Template'!J38)</x:f>
      </x:c>
      <x:c r="B38" s="117" t="str">
        <x:f>IF('Programmatic_SEO_Template'!L38="","",'Programmatic_SEO_Template'!L38)</x:f>
      </x:c>
      <x:c r="C38" s="117" t="str">
        <x:f>IF('Programmatic_SEO_Template'!M38="","",'Programmatic_SEO_Template'!M38)</x:f>
      </x:c>
      <x:c r="D38" s="117" t="str">
        <x:f>IF('Programmatic_SEO_Template'!O38="","",'Programmatic_SEO_Template'!O38)</x:f>
      </x:c>
      <x:c r="E38" s="117" t="str">
        <x:f>IF('Programmatic_SEO_Template'!Q38="","",'Programmatic_SEO_Template'!Q38)</x:f>
      </x:c>
      <x:c r="F38" s="117" t="str">
        <x:f>IF('Programmatic_SEO_Template'!S38="","",'Programmatic_SEO_Template'!S38)</x:f>
      </x:c>
      <x:c r="G38" s="117" t="str">
        <x:f>IF('Programmatic_SEO_Template'!T38="","",'Programmatic_SEO_Template'!T38)</x:f>
      </x:c>
    </x:row>
    <x:row r="39" ht="84" customHeight="1">
      <x:c r="A39" s="117" t="str">
        <x:f>IF('Programmatic_SEO_Template'!J39="","",'Programmatic_SEO_Template'!J39)</x:f>
      </x:c>
      <x:c r="B39" s="117" t="str">
        <x:f>IF('Programmatic_SEO_Template'!L39="","",'Programmatic_SEO_Template'!L39)</x:f>
      </x:c>
      <x:c r="C39" s="117" t="str">
        <x:f>IF('Programmatic_SEO_Template'!M39="","",'Programmatic_SEO_Template'!M39)</x:f>
      </x:c>
      <x:c r="D39" s="117" t="str">
        <x:f>IF('Programmatic_SEO_Template'!O39="","",'Programmatic_SEO_Template'!O39)</x:f>
      </x:c>
      <x:c r="E39" s="117" t="str">
        <x:f>IF('Programmatic_SEO_Template'!Q39="","",'Programmatic_SEO_Template'!Q39)</x:f>
      </x:c>
      <x:c r="F39" s="117" t="str">
        <x:f>IF('Programmatic_SEO_Template'!S39="","",'Programmatic_SEO_Template'!S39)</x:f>
      </x:c>
      <x:c r="G39" s="117" t="str">
        <x:f>IF('Programmatic_SEO_Template'!T39="","",'Programmatic_SEO_Template'!T39)</x:f>
      </x:c>
    </x:row>
    <x:row r="40" ht="84" customHeight="1">
      <x:c r="A40" s="117" t="str">
        <x:f>IF('Programmatic_SEO_Template'!J40="","",'Programmatic_SEO_Template'!J40)</x:f>
      </x:c>
      <x:c r="B40" s="117" t="str">
        <x:f>IF('Programmatic_SEO_Template'!L40="","",'Programmatic_SEO_Template'!L40)</x:f>
      </x:c>
      <x:c r="C40" s="117" t="str">
        <x:f>IF('Programmatic_SEO_Template'!M40="","",'Programmatic_SEO_Template'!M40)</x:f>
      </x:c>
      <x:c r="D40" s="117" t="str">
        <x:f>IF('Programmatic_SEO_Template'!O40="","",'Programmatic_SEO_Template'!O40)</x:f>
      </x:c>
      <x:c r="E40" s="117" t="str">
        <x:f>IF('Programmatic_SEO_Template'!Q40="","",'Programmatic_SEO_Template'!Q40)</x:f>
      </x:c>
      <x:c r="F40" s="117" t="str">
        <x:f>IF('Programmatic_SEO_Template'!S40="","",'Programmatic_SEO_Template'!S40)</x:f>
      </x:c>
      <x:c r="G40" s="117" t="str">
        <x:f>IF('Programmatic_SEO_Template'!T40="","",'Programmatic_SEO_Template'!T40)</x:f>
      </x:c>
    </x:row>
    <x:row r="41" ht="84" customHeight="1">
      <x:c r="A41" s="117" t="str">
        <x:f>IF('Programmatic_SEO_Template'!J41="","",'Programmatic_SEO_Template'!J41)</x:f>
      </x:c>
      <x:c r="B41" s="117" t="str">
        <x:f>IF('Programmatic_SEO_Template'!L41="","",'Programmatic_SEO_Template'!L41)</x:f>
      </x:c>
      <x:c r="C41" s="117" t="str">
        <x:f>IF('Programmatic_SEO_Template'!M41="","",'Programmatic_SEO_Template'!M41)</x:f>
      </x:c>
      <x:c r="D41" s="117" t="str">
        <x:f>IF('Programmatic_SEO_Template'!O41="","",'Programmatic_SEO_Template'!O41)</x:f>
      </x:c>
      <x:c r="E41" s="117" t="str">
        <x:f>IF('Programmatic_SEO_Template'!Q41="","",'Programmatic_SEO_Template'!Q41)</x:f>
      </x:c>
      <x:c r="F41" s="117" t="str">
        <x:f>IF('Programmatic_SEO_Template'!S41="","",'Programmatic_SEO_Template'!S41)</x:f>
      </x:c>
      <x:c r="G41" s="117" t="str">
        <x:f>IF('Programmatic_SEO_Template'!T41="","",'Programmatic_SEO_Template'!T41)</x:f>
      </x:c>
    </x:row>
    <x:row r="42" ht="84" customHeight="1">
      <x:c r="A42" s="117" t="str">
        <x:f>IF('Programmatic_SEO_Template'!J42="","",'Programmatic_SEO_Template'!J42)</x:f>
      </x:c>
      <x:c r="B42" s="117" t="str">
        <x:f>IF('Programmatic_SEO_Template'!L42="","",'Programmatic_SEO_Template'!L42)</x:f>
      </x:c>
      <x:c r="C42" s="117" t="str">
        <x:f>IF('Programmatic_SEO_Template'!M42="","",'Programmatic_SEO_Template'!M42)</x:f>
      </x:c>
      <x:c r="D42" s="117" t="str">
        <x:f>IF('Programmatic_SEO_Template'!O42="","",'Programmatic_SEO_Template'!O42)</x:f>
      </x:c>
      <x:c r="E42" s="117" t="str">
        <x:f>IF('Programmatic_SEO_Template'!Q42="","",'Programmatic_SEO_Template'!Q42)</x:f>
      </x:c>
      <x:c r="F42" s="117" t="str">
        <x:f>IF('Programmatic_SEO_Template'!S42="","",'Programmatic_SEO_Template'!S42)</x:f>
      </x:c>
      <x:c r="G42" s="117" t="str">
        <x:f>IF('Programmatic_SEO_Template'!T42="","",'Programmatic_SEO_Template'!T42)</x:f>
      </x:c>
    </x:row>
    <x:row r="43" ht="84" customHeight="1">
      <x:c r="A43" s="117" t="str">
        <x:f>IF('Programmatic_SEO_Template'!J43="","",'Programmatic_SEO_Template'!J43)</x:f>
      </x:c>
      <x:c r="B43" s="117" t="str">
        <x:f>IF('Programmatic_SEO_Template'!L43="","",'Programmatic_SEO_Template'!L43)</x:f>
      </x:c>
      <x:c r="C43" s="117" t="str">
        <x:f>IF('Programmatic_SEO_Template'!M43="","",'Programmatic_SEO_Template'!M43)</x:f>
      </x:c>
      <x:c r="D43" s="117" t="str">
        <x:f>IF('Programmatic_SEO_Template'!O43="","",'Programmatic_SEO_Template'!O43)</x:f>
      </x:c>
      <x:c r="E43" s="117" t="str">
        <x:f>IF('Programmatic_SEO_Template'!Q43="","",'Programmatic_SEO_Template'!Q43)</x:f>
      </x:c>
      <x:c r="F43" s="117" t="str">
        <x:f>IF('Programmatic_SEO_Template'!S43="","",'Programmatic_SEO_Template'!S43)</x:f>
      </x:c>
      <x:c r="G43" s="117" t="str">
        <x:f>IF('Programmatic_SEO_Template'!T43="","",'Programmatic_SEO_Template'!T43)</x:f>
      </x:c>
    </x:row>
    <x:row r="44" ht="84" customHeight="1">
      <x:c r="A44" s="117" t="str">
        <x:f>IF('Programmatic_SEO_Template'!J44="","",'Programmatic_SEO_Template'!J44)</x:f>
      </x:c>
      <x:c r="B44" s="117" t="str">
        <x:f>IF('Programmatic_SEO_Template'!L44="","",'Programmatic_SEO_Template'!L44)</x:f>
      </x:c>
      <x:c r="C44" s="117" t="str">
        <x:f>IF('Programmatic_SEO_Template'!M44="","",'Programmatic_SEO_Template'!M44)</x:f>
      </x:c>
      <x:c r="D44" s="117" t="str">
        <x:f>IF('Programmatic_SEO_Template'!O44="","",'Programmatic_SEO_Template'!O44)</x:f>
      </x:c>
      <x:c r="E44" s="117" t="str">
        <x:f>IF('Programmatic_SEO_Template'!Q44="","",'Programmatic_SEO_Template'!Q44)</x:f>
      </x:c>
      <x:c r="F44" s="117" t="str">
        <x:f>IF('Programmatic_SEO_Template'!S44="","",'Programmatic_SEO_Template'!S44)</x:f>
      </x:c>
      <x:c r="G44" s="117" t="str">
        <x:f>IF('Programmatic_SEO_Template'!T44="","",'Programmatic_SEO_Template'!T44)</x:f>
      </x:c>
    </x:row>
    <x:row r="45" ht="84" customHeight="1">
      <x:c r="A45" s="117" t="str">
        <x:f>IF('Programmatic_SEO_Template'!J45="","",'Programmatic_SEO_Template'!J45)</x:f>
      </x:c>
      <x:c r="B45" s="117" t="str">
        <x:f>IF('Programmatic_SEO_Template'!L45="","",'Programmatic_SEO_Template'!L45)</x:f>
      </x:c>
      <x:c r="C45" s="117" t="str">
        <x:f>IF('Programmatic_SEO_Template'!M45="","",'Programmatic_SEO_Template'!M45)</x:f>
      </x:c>
      <x:c r="D45" s="117" t="str">
        <x:f>IF('Programmatic_SEO_Template'!O45="","",'Programmatic_SEO_Template'!O45)</x:f>
      </x:c>
      <x:c r="E45" s="117" t="str">
        <x:f>IF('Programmatic_SEO_Template'!Q45="","",'Programmatic_SEO_Template'!Q45)</x:f>
      </x:c>
      <x:c r="F45" s="117" t="str">
        <x:f>IF('Programmatic_SEO_Template'!S45="","",'Programmatic_SEO_Template'!S45)</x:f>
      </x:c>
      <x:c r="G45" s="117" t="str">
        <x:f>IF('Programmatic_SEO_Template'!T45="","",'Programmatic_SEO_Template'!T45)</x:f>
      </x:c>
    </x:row>
    <x:row r="46" ht="84" customHeight="1">
      <x:c r="A46" s="117" t="str">
        <x:f>IF('Programmatic_SEO_Template'!J46="","",'Programmatic_SEO_Template'!J46)</x:f>
      </x:c>
      <x:c r="B46" s="117" t="str">
        <x:f>IF('Programmatic_SEO_Template'!L46="","",'Programmatic_SEO_Template'!L46)</x:f>
      </x:c>
      <x:c r="C46" s="117" t="str">
        <x:f>IF('Programmatic_SEO_Template'!M46="","",'Programmatic_SEO_Template'!M46)</x:f>
      </x:c>
      <x:c r="D46" s="117" t="str">
        <x:f>IF('Programmatic_SEO_Template'!O46="","",'Programmatic_SEO_Template'!O46)</x:f>
      </x:c>
      <x:c r="E46" s="117" t="str">
        <x:f>IF('Programmatic_SEO_Template'!Q46="","",'Programmatic_SEO_Template'!Q46)</x:f>
      </x:c>
      <x:c r="F46" s="117" t="str">
        <x:f>IF('Programmatic_SEO_Template'!S46="","",'Programmatic_SEO_Template'!S46)</x:f>
      </x:c>
      <x:c r="G46" s="117" t="str">
        <x:f>IF('Programmatic_SEO_Template'!T46="","",'Programmatic_SEO_Template'!T46)</x:f>
      </x:c>
    </x:row>
    <x:row r="47" ht="84" customHeight="1">
      <x:c r="A47" s="117" t="str">
        <x:f>IF('Programmatic_SEO_Template'!J47="","",'Programmatic_SEO_Template'!J47)</x:f>
      </x:c>
      <x:c r="B47" s="117" t="str">
        <x:f>IF('Programmatic_SEO_Template'!L47="","",'Programmatic_SEO_Template'!L47)</x:f>
      </x:c>
      <x:c r="C47" s="117" t="str">
        <x:f>IF('Programmatic_SEO_Template'!M47="","",'Programmatic_SEO_Template'!M47)</x:f>
      </x:c>
      <x:c r="D47" s="117" t="str">
        <x:f>IF('Programmatic_SEO_Template'!O47="","",'Programmatic_SEO_Template'!O47)</x:f>
      </x:c>
      <x:c r="E47" s="117" t="str">
        <x:f>IF('Programmatic_SEO_Template'!Q47="","",'Programmatic_SEO_Template'!Q47)</x:f>
      </x:c>
      <x:c r="F47" s="117" t="str">
        <x:f>IF('Programmatic_SEO_Template'!S47="","",'Programmatic_SEO_Template'!S47)</x:f>
      </x:c>
      <x:c r="G47" s="117" t="str">
        <x:f>IF('Programmatic_SEO_Template'!T47="","",'Programmatic_SEO_Template'!T47)</x:f>
      </x:c>
    </x:row>
    <x:row r="48" ht="84" customHeight="1">
      <x:c r="A48" s="117" t="str">
        <x:f>IF('Programmatic_SEO_Template'!J48="","",'Programmatic_SEO_Template'!J48)</x:f>
      </x:c>
      <x:c r="B48" s="117" t="str">
        <x:f>IF('Programmatic_SEO_Template'!L48="","",'Programmatic_SEO_Template'!L48)</x:f>
      </x:c>
      <x:c r="C48" s="117" t="str">
        <x:f>IF('Programmatic_SEO_Template'!M48="","",'Programmatic_SEO_Template'!M48)</x:f>
      </x:c>
      <x:c r="D48" s="117" t="str">
        <x:f>IF('Programmatic_SEO_Template'!O48="","",'Programmatic_SEO_Template'!O48)</x:f>
      </x:c>
      <x:c r="E48" s="117" t="str">
        <x:f>IF('Programmatic_SEO_Template'!Q48="","",'Programmatic_SEO_Template'!Q48)</x:f>
      </x:c>
      <x:c r="F48" s="117" t="str">
        <x:f>IF('Programmatic_SEO_Template'!S48="","",'Programmatic_SEO_Template'!S48)</x:f>
      </x:c>
      <x:c r="G48" s="117" t="str">
        <x:f>IF('Programmatic_SEO_Template'!T48="","",'Programmatic_SEO_Template'!T48)</x:f>
      </x:c>
    </x:row>
    <x:row r="49" ht="84" customHeight="1">
      <x:c r="A49" s="117" t="str">
        <x:f>IF('Programmatic_SEO_Template'!J49="","",'Programmatic_SEO_Template'!J49)</x:f>
      </x:c>
      <x:c r="B49" s="117" t="str">
        <x:f>IF('Programmatic_SEO_Template'!L49="","",'Programmatic_SEO_Template'!L49)</x:f>
      </x:c>
      <x:c r="C49" s="117" t="str">
        <x:f>IF('Programmatic_SEO_Template'!M49="","",'Programmatic_SEO_Template'!M49)</x:f>
      </x:c>
      <x:c r="D49" s="117" t="str">
        <x:f>IF('Programmatic_SEO_Template'!O49="","",'Programmatic_SEO_Template'!O49)</x:f>
      </x:c>
      <x:c r="E49" s="117" t="str">
        <x:f>IF('Programmatic_SEO_Template'!Q49="","",'Programmatic_SEO_Template'!Q49)</x:f>
      </x:c>
      <x:c r="F49" s="117" t="str">
        <x:f>IF('Programmatic_SEO_Template'!S49="","",'Programmatic_SEO_Template'!S49)</x:f>
      </x:c>
      <x:c r="G49" s="117" t="str">
        <x:f>IF('Programmatic_SEO_Template'!T49="","",'Programmatic_SEO_Template'!T49)</x:f>
      </x:c>
    </x:row>
    <x:row r="50" ht="84" customHeight="1">
      <x:c r="A50" s="117" t="str">
        <x:f>IF('Programmatic_SEO_Template'!J50="","",'Programmatic_SEO_Template'!J50)</x:f>
      </x:c>
      <x:c r="B50" s="117" t="str">
        <x:f>IF('Programmatic_SEO_Template'!L50="","",'Programmatic_SEO_Template'!L50)</x:f>
      </x:c>
      <x:c r="C50" s="117" t="str">
        <x:f>IF('Programmatic_SEO_Template'!M50="","",'Programmatic_SEO_Template'!M50)</x:f>
      </x:c>
      <x:c r="D50" s="117" t="str">
        <x:f>IF('Programmatic_SEO_Template'!O50="","",'Programmatic_SEO_Template'!O50)</x:f>
      </x:c>
      <x:c r="E50" s="117" t="str">
        <x:f>IF('Programmatic_SEO_Template'!Q50="","",'Programmatic_SEO_Template'!Q50)</x:f>
      </x:c>
      <x:c r="F50" s="117" t="str">
        <x:f>IF('Programmatic_SEO_Template'!S50="","",'Programmatic_SEO_Template'!S50)</x:f>
      </x:c>
      <x:c r="G50" s="117" t="str">
        <x:f>IF('Programmatic_SEO_Template'!T50="","",'Programmatic_SEO_Template'!T50)</x:f>
      </x:c>
    </x:row>
    <x:row r="51" ht="84" customHeight="1">
      <x:c r="A51" s="117" t="str">
        <x:f>IF('Programmatic_SEO_Template'!J51="","",'Programmatic_SEO_Template'!J51)</x:f>
      </x:c>
      <x:c r="B51" s="117" t="str">
        <x:f>IF('Programmatic_SEO_Template'!L51="","",'Programmatic_SEO_Template'!L51)</x:f>
      </x:c>
      <x:c r="C51" s="117" t="str">
        <x:f>IF('Programmatic_SEO_Template'!M51="","",'Programmatic_SEO_Template'!M51)</x:f>
      </x:c>
      <x:c r="D51" s="117" t="str">
        <x:f>IF('Programmatic_SEO_Template'!O51="","",'Programmatic_SEO_Template'!O51)</x:f>
      </x:c>
      <x:c r="E51" s="117" t="str">
        <x:f>IF('Programmatic_SEO_Template'!Q51="","",'Programmatic_SEO_Template'!Q51)</x:f>
      </x:c>
      <x:c r="F51" s="117" t="str">
        <x:f>IF('Programmatic_SEO_Template'!S51="","",'Programmatic_SEO_Template'!S51)</x:f>
      </x:c>
      <x:c r="G51" s="117" t="str">
        <x:f>IF('Programmatic_SEO_Template'!T51="","",'Programmatic_SEO_Template'!T51)</x:f>
      </x:c>
    </x:row>
    <x:row r="52" ht="84" customHeight="1">
      <x:c r="A52" s="117" t="str">
        <x:f>IF('Programmatic_SEO_Template'!J52="","",'Programmatic_SEO_Template'!J52)</x:f>
      </x:c>
      <x:c r="B52" s="117" t="str">
        <x:f>IF('Programmatic_SEO_Template'!L52="","",'Programmatic_SEO_Template'!L52)</x:f>
      </x:c>
      <x:c r="C52" s="117" t="str">
        <x:f>IF('Programmatic_SEO_Template'!M52="","",'Programmatic_SEO_Template'!M52)</x:f>
      </x:c>
      <x:c r="D52" s="117" t="str">
        <x:f>IF('Programmatic_SEO_Template'!O52="","",'Programmatic_SEO_Template'!O52)</x:f>
      </x:c>
      <x:c r="E52" s="117" t="str">
        <x:f>IF('Programmatic_SEO_Template'!Q52="","",'Programmatic_SEO_Template'!Q52)</x:f>
      </x:c>
      <x:c r="F52" s="117" t="str">
        <x:f>IF('Programmatic_SEO_Template'!S52="","",'Programmatic_SEO_Template'!S52)</x:f>
      </x:c>
      <x:c r="G52" s="117" t="str">
        <x:f>IF('Programmatic_SEO_Template'!T52="","",'Programmatic_SEO_Template'!T52)</x:f>
      </x:c>
    </x:row>
    <x:row r="53" ht="84" customHeight="1">
      <x:c r="A53" s="117" t="str">
        <x:f>IF('Programmatic_SEO_Template'!J53="","",'Programmatic_SEO_Template'!J53)</x:f>
      </x:c>
      <x:c r="B53" s="117" t="str">
        <x:f>IF('Programmatic_SEO_Template'!L53="","",'Programmatic_SEO_Template'!L53)</x:f>
      </x:c>
      <x:c r="C53" s="117" t="str">
        <x:f>IF('Programmatic_SEO_Template'!M53="","",'Programmatic_SEO_Template'!M53)</x:f>
      </x:c>
      <x:c r="D53" s="117" t="str">
        <x:f>IF('Programmatic_SEO_Template'!O53="","",'Programmatic_SEO_Template'!O53)</x:f>
      </x:c>
      <x:c r="E53" s="117" t="str">
        <x:f>IF('Programmatic_SEO_Template'!Q53="","",'Programmatic_SEO_Template'!Q53)</x:f>
      </x:c>
      <x:c r="F53" s="117" t="str">
        <x:f>IF('Programmatic_SEO_Template'!S53="","",'Programmatic_SEO_Template'!S53)</x:f>
      </x:c>
      <x:c r="G53" s="117" t="str">
        <x:f>IF('Programmatic_SEO_Template'!T53="","",'Programmatic_SEO_Template'!T53)</x:f>
      </x:c>
    </x:row>
    <x:row r="54" ht="84" customHeight="1">
      <x:c r="A54" s="117" t="str">
        <x:f>IF('Programmatic_SEO_Template'!J54="","",'Programmatic_SEO_Template'!J54)</x:f>
      </x:c>
      <x:c r="B54" s="117" t="str">
        <x:f>IF('Programmatic_SEO_Template'!L54="","",'Programmatic_SEO_Template'!L54)</x:f>
      </x:c>
      <x:c r="C54" s="117" t="str">
        <x:f>IF('Programmatic_SEO_Template'!M54="","",'Programmatic_SEO_Template'!M54)</x:f>
      </x:c>
      <x:c r="D54" s="117" t="str">
        <x:f>IF('Programmatic_SEO_Template'!O54="","",'Programmatic_SEO_Template'!O54)</x:f>
      </x:c>
      <x:c r="E54" s="117" t="str">
        <x:f>IF('Programmatic_SEO_Template'!Q54="","",'Programmatic_SEO_Template'!Q54)</x:f>
      </x:c>
      <x:c r="F54" s="117" t="str">
        <x:f>IF('Programmatic_SEO_Template'!S54="","",'Programmatic_SEO_Template'!S54)</x:f>
      </x:c>
      <x:c r="G54" s="117" t="str">
        <x:f>IF('Programmatic_SEO_Template'!T54="","",'Programmatic_SEO_Template'!T54)</x:f>
      </x:c>
    </x:row>
    <x:row r="55" ht="84" customHeight="1">
      <x:c r="A55" s="117" t="str">
        <x:f>IF('Programmatic_SEO_Template'!J55="","",'Programmatic_SEO_Template'!J55)</x:f>
      </x:c>
      <x:c r="B55" s="117" t="str">
        <x:f>IF('Programmatic_SEO_Template'!L55="","",'Programmatic_SEO_Template'!L55)</x:f>
      </x:c>
      <x:c r="C55" s="117" t="str">
        <x:f>IF('Programmatic_SEO_Template'!M55="","",'Programmatic_SEO_Template'!M55)</x:f>
      </x:c>
      <x:c r="D55" s="117" t="str">
        <x:f>IF('Programmatic_SEO_Template'!O55="","",'Programmatic_SEO_Template'!O55)</x:f>
      </x:c>
      <x:c r="E55" s="117" t="str">
        <x:f>IF('Programmatic_SEO_Template'!Q55="","",'Programmatic_SEO_Template'!Q55)</x:f>
      </x:c>
      <x:c r="F55" s="117" t="str">
        <x:f>IF('Programmatic_SEO_Template'!S55="","",'Programmatic_SEO_Template'!S55)</x:f>
      </x:c>
      <x:c r="G55" s="117" t="str">
        <x:f>IF('Programmatic_SEO_Template'!T55="","",'Programmatic_SEO_Template'!T55)</x:f>
      </x:c>
    </x:row>
    <x:row r="56" ht="84" customHeight="1">
      <x:c r="A56" s="117" t="str">
        <x:f>IF('Programmatic_SEO_Template'!J56="","",'Programmatic_SEO_Template'!J56)</x:f>
      </x:c>
      <x:c r="B56" s="117" t="str">
        <x:f>IF('Programmatic_SEO_Template'!L56="","",'Programmatic_SEO_Template'!L56)</x:f>
      </x:c>
      <x:c r="C56" s="117" t="str">
        <x:f>IF('Programmatic_SEO_Template'!M56="","",'Programmatic_SEO_Template'!M56)</x:f>
      </x:c>
      <x:c r="D56" s="117" t="str">
        <x:f>IF('Programmatic_SEO_Template'!O56="","",'Programmatic_SEO_Template'!O56)</x:f>
      </x:c>
      <x:c r="E56" s="117" t="str">
        <x:f>IF('Programmatic_SEO_Template'!Q56="","",'Programmatic_SEO_Template'!Q56)</x:f>
      </x:c>
      <x:c r="F56" s="117" t="str">
        <x:f>IF('Programmatic_SEO_Template'!S56="","",'Programmatic_SEO_Template'!S56)</x:f>
      </x:c>
      <x:c r="G56" s="117" t="str">
        <x:f>IF('Programmatic_SEO_Template'!T56="","",'Programmatic_SEO_Template'!T56)</x:f>
      </x:c>
    </x:row>
    <x:row r="57" ht="84" customHeight="1">
      <x:c r="A57" s="117" t="str">
        <x:f>IF('Programmatic_SEO_Template'!J57="","",'Programmatic_SEO_Template'!J57)</x:f>
      </x:c>
      <x:c r="B57" s="117" t="str">
        <x:f>IF('Programmatic_SEO_Template'!L57="","",'Programmatic_SEO_Template'!L57)</x:f>
      </x:c>
      <x:c r="C57" s="117" t="str">
        <x:f>IF('Programmatic_SEO_Template'!M57="","",'Programmatic_SEO_Template'!M57)</x:f>
      </x:c>
      <x:c r="D57" s="117" t="str">
        <x:f>IF('Programmatic_SEO_Template'!O57="","",'Programmatic_SEO_Template'!O57)</x:f>
      </x:c>
      <x:c r="E57" s="117" t="str">
        <x:f>IF('Programmatic_SEO_Template'!Q57="","",'Programmatic_SEO_Template'!Q57)</x:f>
      </x:c>
      <x:c r="F57" s="117" t="str">
        <x:f>IF('Programmatic_SEO_Template'!S57="","",'Programmatic_SEO_Template'!S57)</x:f>
      </x:c>
      <x:c r="G57" s="117" t="str">
        <x:f>IF('Programmatic_SEO_Template'!T57="","",'Programmatic_SEO_Template'!T57)</x:f>
      </x:c>
    </x:row>
    <x:row r="58" ht="84" customHeight="1">
      <x:c r="A58" s="117" t="str">
        <x:f>IF('Programmatic_SEO_Template'!J58="","",'Programmatic_SEO_Template'!J58)</x:f>
      </x:c>
      <x:c r="B58" s="117" t="str">
        <x:f>IF('Programmatic_SEO_Template'!L58="","",'Programmatic_SEO_Template'!L58)</x:f>
      </x:c>
      <x:c r="C58" s="117" t="str">
        <x:f>IF('Programmatic_SEO_Template'!M58="","",'Programmatic_SEO_Template'!M58)</x:f>
      </x:c>
      <x:c r="D58" s="117" t="str">
        <x:f>IF('Programmatic_SEO_Template'!O58="","",'Programmatic_SEO_Template'!O58)</x:f>
      </x:c>
      <x:c r="E58" s="117" t="str">
        <x:f>IF('Programmatic_SEO_Template'!Q58="","",'Programmatic_SEO_Template'!Q58)</x:f>
      </x:c>
      <x:c r="F58" s="117" t="str">
        <x:f>IF('Programmatic_SEO_Template'!S58="","",'Programmatic_SEO_Template'!S58)</x:f>
      </x:c>
      <x:c r="G58" s="117" t="str">
        <x:f>IF('Programmatic_SEO_Template'!T58="","",'Programmatic_SEO_Template'!T58)</x:f>
      </x:c>
    </x:row>
    <x:row r="59" ht="84" customHeight="1">
      <x:c r="A59" s="117" t="str">
        <x:f>IF('Programmatic_SEO_Template'!J59="","",'Programmatic_SEO_Template'!J59)</x:f>
      </x:c>
      <x:c r="B59" s="117" t="str">
        <x:f>IF('Programmatic_SEO_Template'!L59="","",'Programmatic_SEO_Template'!L59)</x:f>
      </x:c>
      <x:c r="C59" s="117" t="str">
        <x:f>IF('Programmatic_SEO_Template'!M59="","",'Programmatic_SEO_Template'!M59)</x:f>
      </x:c>
      <x:c r="D59" s="117" t="str">
        <x:f>IF('Programmatic_SEO_Template'!O59="","",'Programmatic_SEO_Template'!O59)</x:f>
      </x:c>
      <x:c r="E59" s="117" t="str">
        <x:f>IF('Programmatic_SEO_Template'!Q59="","",'Programmatic_SEO_Template'!Q59)</x:f>
      </x:c>
      <x:c r="F59" s="117" t="str">
        <x:f>IF('Programmatic_SEO_Template'!S59="","",'Programmatic_SEO_Template'!S59)</x:f>
      </x:c>
      <x:c r="G59" s="117" t="str">
        <x:f>IF('Programmatic_SEO_Template'!T59="","",'Programmatic_SEO_Template'!T59)</x:f>
      </x:c>
    </x:row>
    <x:row r="60" ht="84" customHeight="1">
      <x:c r="A60" s="117" t="str">
        <x:f>IF('Programmatic_SEO_Template'!J60="","",'Programmatic_SEO_Template'!J60)</x:f>
      </x:c>
      <x:c r="B60" s="117" t="str">
        <x:f>IF('Programmatic_SEO_Template'!L60="","",'Programmatic_SEO_Template'!L60)</x:f>
      </x:c>
      <x:c r="C60" s="117" t="str">
        <x:f>IF('Programmatic_SEO_Template'!M60="","",'Programmatic_SEO_Template'!M60)</x:f>
      </x:c>
      <x:c r="D60" s="117" t="str">
        <x:f>IF('Programmatic_SEO_Template'!O60="","",'Programmatic_SEO_Template'!O60)</x:f>
      </x:c>
      <x:c r="E60" s="117" t="str">
        <x:f>IF('Programmatic_SEO_Template'!Q60="","",'Programmatic_SEO_Template'!Q60)</x:f>
      </x:c>
      <x:c r="F60" s="117" t="str">
        <x:f>IF('Programmatic_SEO_Template'!S60="","",'Programmatic_SEO_Template'!S60)</x:f>
      </x:c>
      <x:c r="G60" s="117" t="str">
        <x:f>IF('Programmatic_SEO_Template'!T60="","",'Programmatic_SEO_Template'!T60)</x:f>
      </x:c>
    </x:row>
    <x:row r="61" ht="84" customHeight="1">
      <x:c r="A61" s="117" t="str">
        <x:f>IF('Programmatic_SEO_Template'!J61="","",'Programmatic_SEO_Template'!J61)</x:f>
      </x:c>
      <x:c r="B61" s="117" t="str">
        <x:f>IF('Programmatic_SEO_Template'!L61="","",'Programmatic_SEO_Template'!L61)</x:f>
      </x:c>
      <x:c r="C61" s="117" t="str">
        <x:f>IF('Programmatic_SEO_Template'!M61="","",'Programmatic_SEO_Template'!M61)</x:f>
      </x:c>
      <x:c r="D61" s="117" t="str">
        <x:f>IF('Programmatic_SEO_Template'!O61="","",'Programmatic_SEO_Template'!O61)</x:f>
      </x:c>
      <x:c r="E61" s="117" t="str">
        <x:f>IF('Programmatic_SEO_Template'!Q61="","",'Programmatic_SEO_Template'!Q61)</x:f>
      </x:c>
      <x:c r="F61" s="117" t="str">
        <x:f>IF('Programmatic_SEO_Template'!S61="","",'Programmatic_SEO_Template'!S61)</x:f>
      </x:c>
      <x:c r="G61" s="117" t="str">
        <x:f>IF('Programmatic_SEO_Template'!T61="","",'Programmatic_SEO_Template'!T61)</x:f>
      </x:c>
    </x:row>
    <x:row r="62" ht="84" customHeight="1">
      <x:c r="A62" s="117" t="str">
        <x:f>IF('Programmatic_SEO_Template'!J62="","",'Programmatic_SEO_Template'!J62)</x:f>
      </x:c>
      <x:c r="B62" s="117" t="str">
        <x:f>IF('Programmatic_SEO_Template'!L62="","",'Programmatic_SEO_Template'!L62)</x:f>
      </x:c>
      <x:c r="C62" s="117" t="str">
        <x:f>IF('Programmatic_SEO_Template'!M62="","",'Programmatic_SEO_Template'!M62)</x:f>
      </x:c>
      <x:c r="D62" s="117" t="str">
        <x:f>IF('Programmatic_SEO_Template'!O62="","",'Programmatic_SEO_Template'!O62)</x:f>
      </x:c>
      <x:c r="E62" s="117" t="str">
        <x:f>IF('Programmatic_SEO_Template'!Q62="","",'Programmatic_SEO_Template'!Q62)</x:f>
      </x:c>
      <x:c r="F62" s="117" t="str">
        <x:f>IF('Programmatic_SEO_Template'!S62="","",'Programmatic_SEO_Template'!S62)</x:f>
      </x:c>
      <x:c r="G62" s="117" t="str">
        <x:f>IF('Programmatic_SEO_Template'!T62="","",'Programmatic_SEO_Template'!T62)</x:f>
      </x:c>
    </x:row>
    <x:row r="63" ht="84" customHeight="1">
      <x:c r="A63" s="117" t="str">
        <x:f>IF('Programmatic_SEO_Template'!J63="","",'Programmatic_SEO_Template'!J63)</x:f>
      </x:c>
      <x:c r="B63" s="117" t="str">
        <x:f>IF('Programmatic_SEO_Template'!L63="","",'Programmatic_SEO_Template'!L63)</x:f>
      </x:c>
      <x:c r="C63" s="117" t="str">
        <x:f>IF('Programmatic_SEO_Template'!M63="","",'Programmatic_SEO_Template'!M63)</x:f>
      </x:c>
      <x:c r="D63" s="117" t="str">
        <x:f>IF('Programmatic_SEO_Template'!O63="","",'Programmatic_SEO_Template'!O63)</x:f>
      </x:c>
      <x:c r="E63" s="117" t="str">
        <x:f>IF('Programmatic_SEO_Template'!Q63="","",'Programmatic_SEO_Template'!Q63)</x:f>
      </x:c>
      <x:c r="F63" s="117" t="str">
        <x:f>IF('Programmatic_SEO_Template'!S63="","",'Programmatic_SEO_Template'!S63)</x:f>
      </x:c>
      <x:c r="G63" s="117" t="str">
        <x:f>IF('Programmatic_SEO_Template'!T63="","",'Programmatic_SEO_Template'!T63)</x:f>
      </x:c>
    </x:row>
    <x:row r="64" ht="84" customHeight="1">
      <x:c r="A64" s="117" t="str">
        <x:f>IF('Programmatic_SEO_Template'!J64="","",'Programmatic_SEO_Template'!J64)</x:f>
      </x:c>
      <x:c r="B64" s="117" t="str">
        <x:f>IF('Programmatic_SEO_Template'!L64="","",'Programmatic_SEO_Template'!L64)</x:f>
      </x:c>
      <x:c r="C64" s="117" t="str">
        <x:f>IF('Programmatic_SEO_Template'!M64="","",'Programmatic_SEO_Template'!M64)</x:f>
      </x:c>
      <x:c r="D64" s="117" t="str">
        <x:f>IF('Programmatic_SEO_Template'!O64="","",'Programmatic_SEO_Template'!O64)</x:f>
      </x:c>
      <x:c r="E64" s="117" t="str">
        <x:f>IF('Programmatic_SEO_Template'!Q64="","",'Programmatic_SEO_Template'!Q64)</x:f>
      </x:c>
      <x:c r="F64" s="117" t="str">
        <x:f>IF('Programmatic_SEO_Template'!S64="","",'Programmatic_SEO_Template'!S64)</x:f>
      </x:c>
      <x:c r="G64" s="117" t="str">
        <x:f>IF('Programmatic_SEO_Template'!T64="","",'Programmatic_SEO_Template'!T64)</x:f>
      </x:c>
    </x:row>
    <x:row r="65" ht="84" customHeight="1">
      <x:c r="A65" s="117" t="str">
        <x:f>IF('Programmatic_SEO_Template'!J65="","",'Programmatic_SEO_Template'!J65)</x:f>
      </x:c>
      <x:c r="B65" s="117" t="str">
        <x:f>IF('Programmatic_SEO_Template'!L65="","",'Programmatic_SEO_Template'!L65)</x:f>
      </x:c>
      <x:c r="C65" s="117" t="str">
        <x:f>IF('Programmatic_SEO_Template'!M65="","",'Programmatic_SEO_Template'!M65)</x:f>
      </x:c>
      <x:c r="D65" s="117" t="str">
        <x:f>IF('Programmatic_SEO_Template'!O65="","",'Programmatic_SEO_Template'!O65)</x:f>
      </x:c>
      <x:c r="E65" s="117" t="str">
        <x:f>IF('Programmatic_SEO_Template'!Q65="","",'Programmatic_SEO_Template'!Q65)</x:f>
      </x:c>
      <x:c r="F65" s="117" t="str">
        <x:f>IF('Programmatic_SEO_Template'!S65="","",'Programmatic_SEO_Template'!S65)</x:f>
      </x:c>
      <x:c r="G65" s="117" t="str">
        <x:f>IF('Programmatic_SEO_Template'!T65="","",'Programmatic_SEO_Template'!T65)</x:f>
      </x:c>
    </x:row>
    <x:row r="66" ht="84" customHeight="1">
      <x:c r="A66" s="117" t="str">
        <x:f>IF('Programmatic_SEO_Template'!J66="","",'Programmatic_SEO_Template'!J66)</x:f>
      </x:c>
      <x:c r="B66" s="117" t="str">
        <x:f>IF('Programmatic_SEO_Template'!L66="","",'Programmatic_SEO_Template'!L66)</x:f>
      </x:c>
      <x:c r="C66" s="117" t="str">
        <x:f>IF('Programmatic_SEO_Template'!M66="","",'Programmatic_SEO_Template'!M66)</x:f>
      </x:c>
      <x:c r="D66" s="117" t="str">
        <x:f>IF('Programmatic_SEO_Template'!O66="","",'Programmatic_SEO_Template'!O66)</x:f>
      </x:c>
      <x:c r="E66" s="117" t="str">
        <x:f>IF('Programmatic_SEO_Template'!Q66="","",'Programmatic_SEO_Template'!Q66)</x:f>
      </x:c>
      <x:c r="F66" s="117" t="str">
        <x:f>IF('Programmatic_SEO_Template'!S66="","",'Programmatic_SEO_Template'!S66)</x:f>
      </x:c>
      <x:c r="G66" s="117" t="str">
        <x:f>IF('Programmatic_SEO_Template'!T66="","",'Programmatic_SEO_Template'!T66)</x:f>
      </x:c>
    </x:row>
    <x:row r="67" ht="84" customHeight="1">
      <x:c r="A67" s="117" t="str">
        <x:f>IF('Programmatic_SEO_Template'!J67="","",'Programmatic_SEO_Template'!J67)</x:f>
      </x:c>
      <x:c r="B67" s="117" t="str">
        <x:f>IF('Programmatic_SEO_Template'!L67="","",'Programmatic_SEO_Template'!L67)</x:f>
      </x:c>
      <x:c r="C67" s="117" t="str">
        <x:f>IF('Programmatic_SEO_Template'!M67="","",'Programmatic_SEO_Template'!M67)</x:f>
      </x:c>
      <x:c r="D67" s="117" t="str">
        <x:f>IF('Programmatic_SEO_Template'!O67="","",'Programmatic_SEO_Template'!O67)</x:f>
      </x:c>
      <x:c r="E67" s="117" t="str">
        <x:f>IF('Programmatic_SEO_Template'!Q67="","",'Programmatic_SEO_Template'!Q67)</x:f>
      </x:c>
      <x:c r="F67" s="117" t="str">
        <x:f>IF('Programmatic_SEO_Template'!S67="","",'Programmatic_SEO_Template'!S67)</x:f>
      </x:c>
      <x:c r="G67" s="117" t="str">
        <x:f>IF('Programmatic_SEO_Template'!T67="","",'Programmatic_SEO_Template'!T67)</x:f>
      </x:c>
    </x:row>
    <x:row r="68" ht="84" customHeight="1">
      <x:c r="A68" s="117" t="str">
        <x:f>IF('Programmatic_SEO_Template'!J68="","",'Programmatic_SEO_Template'!J68)</x:f>
      </x:c>
      <x:c r="B68" s="117" t="str">
        <x:f>IF('Programmatic_SEO_Template'!L68="","",'Programmatic_SEO_Template'!L68)</x:f>
      </x:c>
      <x:c r="C68" s="117" t="str">
        <x:f>IF('Programmatic_SEO_Template'!M68="","",'Programmatic_SEO_Template'!M68)</x:f>
      </x:c>
      <x:c r="D68" s="117" t="str">
        <x:f>IF('Programmatic_SEO_Template'!O68="","",'Programmatic_SEO_Template'!O68)</x:f>
      </x:c>
      <x:c r="E68" s="117" t="str">
        <x:f>IF('Programmatic_SEO_Template'!Q68="","",'Programmatic_SEO_Template'!Q68)</x:f>
      </x:c>
      <x:c r="F68" s="117" t="str">
        <x:f>IF('Programmatic_SEO_Template'!S68="","",'Programmatic_SEO_Template'!S68)</x:f>
      </x:c>
      <x:c r="G68" s="117" t="str">
        <x:f>IF('Programmatic_SEO_Template'!T68="","",'Programmatic_SEO_Template'!T68)</x:f>
      </x:c>
    </x:row>
    <x:row r="69" ht="84" customHeight="1">
      <x:c r="A69" s="117" t="str">
        <x:f>IF('Programmatic_SEO_Template'!J69="","",'Programmatic_SEO_Template'!J69)</x:f>
      </x:c>
      <x:c r="B69" s="117" t="str">
        <x:f>IF('Programmatic_SEO_Template'!L69="","",'Programmatic_SEO_Template'!L69)</x:f>
      </x:c>
      <x:c r="C69" s="117" t="str">
        <x:f>IF('Programmatic_SEO_Template'!M69="","",'Programmatic_SEO_Template'!M69)</x:f>
      </x:c>
      <x:c r="D69" s="117" t="str">
        <x:f>IF('Programmatic_SEO_Template'!O69="","",'Programmatic_SEO_Template'!O69)</x:f>
      </x:c>
      <x:c r="E69" s="117" t="str">
        <x:f>IF('Programmatic_SEO_Template'!Q69="","",'Programmatic_SEO_Template'!Q69)</x:f>
      </x:c>
      <x:c r="F69" s="117" t="str">
        <x:f>IF('Programmatic_SEO_Template'!S69="","",'Programmatic_SEO_Template'!S69)</x:f>
      </x:c>
      <x:c r="G69" s="117" t="str">
        <x:f>IF('Programmatic_SEO_Template'!T69="","",'Programmatic_SEO_Template'!T69)</x:f>
      </x:c>
    </x:row>
    <x:row r="70" ht="84" customHeight="1">
      <x:c r="A70" s="117" t="str">
        <x:f>IF('Programmatic_SEO_Template'!J70="","",'Programmatic_SEO_Template'!J70)</x:f>
      </x:c>
      <x:c r="B70" s="117" t="str">
        <x:f>IF('Programmatic_SEO_Template'!L70="","",'Programmatic_SEO_Template'!L70)</x:f>
      </x:c>
      <x:c r="C70" s="117" t="str">
        <x:f>IF('Programmatic_SEO_Template'!M70="","",'Programmatic_SEO_Template'!M70)</x:f>
      </x:c>
      <x:c r="D70" s="117" t="str">
        <x:f>IF('Programmatic_SEO_Template'!O70="","",'Programmatic_SEO_Template'!O70)</x:f>
      </x:c>
      <x:c r="E70" s="117" t="str">
        <x:f>IF('Programmatic_SEO_Template'!Q70="","",'Programmatic_SEO_Template'!Q70)</x:f>
      </x:c>
      <x:c r="F70" s="117" t="str">
        <x:f>IF('Programmatic_SEO_Template'!S70="","",'Programmatic_SEO_Template'!S70)</x:f>
      </x:c>
      <x:c r="G70" s="117" t="str">
        <x:f>IF('Programmatic_SEO_Template'!T70="","",'Programmatic_SEO_Template'!T70)</x:f>
      </x:c>
    </x:row>
    <x:row r="71" ht="84" customHeight="1">
      <x:c r="A71" s="117" t="str">
        <x:f>IF('Programmatic_SEO_Template'!J71="","",'Programmatic_SEO_Template'!J71)</x:f>
      </x:c>
      <x:c r="B71" s="117" t="str">
        <x:f>IF('Programmatic_SEO_Template'!L71="","",'Programmatic_SEO_Template'!L71)</x:f>
      </x:c>
      <x:c r="C71" s="117" t="str">
        <x:f>IF('Programmatic_SEO_Template'!M71="","",'Programmatic_SEO_Template'!M71)</x:f>
      </x:c>
      <x:c r="D71" s="117" t="str">
        <x:f>IF('Programmatic_SEO_Template'!O71="","",'Programmatic_SEO_Template'!O71)</x:f>
      </x:c>
      <x:c r="E71" s="117" t="str">
        <x:f>IF('Programmatic_SEO_Template'!Q71="","",'Programmatic_SEO_Template'!Q71)</x:f>
      </x:c>
      <x:c r="F71" s="117" t="str">
        <x:f>IF('Programmatic_SEO_Template'!S71="","",'Programmatic_SEO_Template'!S71)</x:f>
      </x:c>
      <x:c r="G71" s="117" t="str">
        <x:f>IF('Programmatic_SEO_Template'!T71="","",'Programmatic_SEO_Template'!T71)</x:f>
      </x:c>
    </x:row>
    <x:row r="72" ht="84" customHeight="1">
      <x:c r="A72" s="117" t="str">
        <x:f>IF('Programmatic_SEO_Template'!J72="","",'Programmatic_SEO_Template'!J72)</x:f>
      </x:c>
      <x:c r="B72" s="117" t="str">
        <x:f>IF('Programmatic_SEO_Template'!L72="","",'Programmatic_SEO_Template'!L72)</x:f>
      </x:c>
      <x:c r="C72" s="117" t="str">
        <x:f>IF('Programmatic_SEO_Template'!M72="","",'Programmatic_SEO_Template'!M72)</x:f>
      </x:c>
      <x:c r="D72" s="117" t="str">
        <x:f>IF('Programmatic_SEO_Template'!O72="","",'Programmatic_SEO_Template'!O72)</x:f>
      </x:c>
      <x:c r="E72" s="117" t="str">
        <x:f>IF('Programmatic_SEO_Template'!Q72="","",'Programmatic_SEO_Template'!Q72)</x:f>
      </x:c>
      <x:c r="F72" s="117" t="str">
        <x:f>IF('Programmatic_SEO_Template'!S72="","",'Programmatic_SEO_Template'!S72)</x:f>
      </x:c>
      <x:c r="G72" s="117" t="str">
        <x:f>IF('Programmatic_SEO_Template'!T72="","",'Programmatic_SEO_Template'!T72)</x:f>
      </x:c>
    </x:row>
    <x:row r="73" ht="84" customHeight="1">
      <x:c r="A73" s="117" t="str">
        <x:f>IF('Programmatic_SEO_Template'!J73="","",'Programmatic_SEO_Template'!J73)</x:f>
      </x:c>
      <x:c r="B73" s="117" t="str">
        <x:f>IF('Programmatic_SEO_Template'!L73="","",'Programmatic_SEO_Template'!L73)</x:f>
      </x:c>
      <x:c r="C73" s="117" t="str">
        <x:f>IF('Programmatic_SEO_Template'!M73="","",'Programmatic_SEO_Template'!M73)</x:f>
      </x:c>
      <x:c r="D73" s="117" t="str">
        <x:f>IF('Programmatic_SEO_Template'!O73="","",'Programmatic_SEO_Template'!O73)</x:f>
      </x:c>
      <x:c r="E73" s="117" t="str">
        <x:f>IF('Programmatic_SEO_Template'!Q73="","",'Programmatic_SEO_Template'!Q73)</x:f>
      </x:c>
      <x:c r="F73" s="117" t="str">
        <x:f>IF('Programmatic_SEO_Template'!S73="","",'Programmatic_SEO_Template'!S73)</x:f>
      </x:c>
      <x:c r="G73" s="117" t="str">
        <x:f>IF('Programmatic_SEO_Template'!T73="","",'Programmatic_SEO_Template'!T73)</x:f>
      </x:c>
    </x:row>
    <x:row r="74" ht="84" customHeight="1">
      <x:c r="A74" s="117" t="str">
        <x:f>IF('Programmatic_SEO_Template'!J74="","",'Programmatic_SEO_Template'!J74)</x:f>
      </x:c>
      <x:c r="B74" s="117" t="str">
        <x:f>IF('Programmatic_SEO_Template'!L74="","",'Programmatic_SEO_Template'!L74)</x:f>
      </x:c>
      <x:c r="C74" s="117" t="str">
        <x:f>IF('Programmatic_SEO_Template'!M74="","",'Programmatic_SEO_Template'!M74)</x:f>
      </x:c>
      <x:c r="D74" s="117" t="str">
        <x:f>IF('Programmatic_SEO_Template'!O74="","",'Programmatic_SEO_Template'!O74)</x:f>
      </x:c>
      <x:c r="E74" s="117" t="str">
        <x:f>IF('Programmatic_SEO_Template'!Q74="","",'Programmatic_SEO_Template'!Q74)</x:f>
      </x:c>
      <x:c r="F74" s="117" t="str">
        <x:f>IF('Programmatic_SEO_Template'!S74="","",'Programmatic_SEO_Template'!S74)</x:f>
      </x:c>
      <x:c r="G74" s="117" t="str">
        <x:f>IF('Programmatic_SEO_Template'!T74="","",'Programmatic_SEO_Template'!T74)</x:f>
      </x:c>
    </x:row>
    <x:row r="75" ht="84" customHeight="1">
      <x:c r="A75" s="117" t="str">
        <x:f>IF('Programmatic_SEO_Template'!J75="","",'Programmatic_SEO_Template'!J75)</x:f>
      </x:c>
      <x:c r="B75" s="117" t="str">
        <x:f>IF('Programmatic_SEO_Template'!L75="","",'Programmatic_SEO_Template'!L75)</x:f>
      </x:c>
      <x:c r="C75" s="117" t="str">
        <x:f>IF('Programmatic_SEO_Template'!M75="","",'Programmatic_SEO_Template'!M75)</x:f>
      </x:c>
      <x:c r="D75" s="117" t="str">
        <x:f>IF('Programmatic_SEO_Template'!O75="","",'Programmatic_SEO_Template'!O75)</x:f>
      </x:c>
      <x:c r="E75" s="117" t="str">
        <x:f>IF('Programmatic_SEO_Template'!Q75="","",'Programmatic_SEO_Template'!Q75)</x:f>
      </x:c>
      <x:c r="F75" s="117" t="str">
        <x:f>IF('Programmatic_SEO_Template'!S75="","",'Programmatic_SEO_Template'!S75)</x:f>
      </x:c>
      <x:c r="G75" s="117" t="str">
        <x:f>IF('Programmatic_SEO_Template'!T75="","",'Programmatic_SEO_Template'!T75)</x:f>
      </x:c>
    </x:row>
    <x:row r="76" ht="84" customHeight="1">
      <x:c r="A76" s="117" t="str">
        <x:f>IF('Programmatic_SEO_Template'!J76="","",'Programmatic_SEO_Template'!J76)</x:f>
      </x:c>
      <x:c r="B76" s="117" t="str">
        <x:f>IF('Programmatic_SEO_Template'!L76="","",'Programmatic_SEO_Template'!L76)</x:f>
      </x:c>
      <x:c r="C76" s="117" t="str">
        <x:f>IF('Programmatic_SEO_Template'!M76="","",'Programmatic_SEO_Template'!M76)</x:f>
      </x:c>
      <x:c r="D76" s="117" t="str">
        <x:f>IF('Programmatic_SEO_Template'!O76="","",'Programmatic_SEO_Template'!O76)</x:f>
      </x:c>
      <x:c r="E76" s="117" t="str">
        <x:f>IF('Programmatic_SEO_Template'!Q76="","",'Programmatic_SEO_Template'!Q76)</x:f>
      </x:c>
      <x:c r="F76" s="117" t="str">
        <x:f>IF('Programmatic_SEO_Template'!S76="","",'Programmatic_SEO_Template'!S76)</x:f>
      </x:c>
      <x:c r="G76" s="117" t="str">
        <x:f>IF('Programmatic_SEO_Template'!T76="","",'Programmatic_SEO_Template'!T76)</x:f>
      </x:c>
    </x:row>
    <x:row r="77" ht="84" customHeight="1">
      <x:c r="A77" s="117" t="str">
        <x:f>IF('Programmatic_SEO_Template'!J77="","",'Programmatic_SEO_Template'!J77)</x:f>
      </x:c>
      <x:c r="B77" s="117" t="str">
        <x:f>IF('Programmatic_SEO_Template'!L77="","",'Programmatic_SEO_Template'!L77)</x:f>
      </x:c>
      <x:c r="C77" s="117" t="str">
        <x:f>IF('Programmatic_SEO_Template'!M77="","",'Programmatic_SEO_Template'!M77)</x:f>
      </x:c>
      <x:c r="D77" s="117" t="str">
        <x:f>IF('Programmatic_SEO_Template'!O77="","",'Programmatic_SEO_Template'!O77)</x:f>
      </x:c>
      <x:c r="E77" s="117" t="str">
        <x:f>IF('Programmatic_SEO_Template'!Q77="","",'Programmatic_SEO_Template'!Q77)</x:f>
      </x:c>
      <x:c r="F77" s="117" t="str">
        <x:f>IF('Programmatic_SEO_Template'!S77="","",'Programmatic_SEO_Template'!S77)</x:f>
      </x:c>
      <x:c r="G77" s="117" t="str">
        <x:f>IF('Programmatic_SEO_Template'!T77="","",'Programmatic_SEO_Template'!T77)</x:f>
      </x:c>
    </x:row>
    <x:row r="78" ht="84" customHeight="1">
      <x:c r="A78" s="117" t="str">
        <x:f>IF('Programmatic_SEO_Template'!J78="","",'Programmatic_SEO_Template'!J78)</x:f>
      </x:c>
      <x:c r="B78" s="117" t="str">
        <x:f>IF('Programmatic_SEO_Template'!L78="","",'Programmatic_SEO_Template'!L78)</x:f>
      </x:c>
      <x:c r="C78" s="117" t="str">
        <x:f>IF('Programmatic_SEO_Template'!M78="","",'Programmatic_SEO_Template'!M78)</x:f>
      </x:c>
      <x:c r="D78" s="117" t="str">
        <x:f>IF('Programmatic_SEO_Template'!O78="","",'Programmatic_SEO_Template'!O78)</x:f>
      </x:c>
      <x:c r="E78" s="117" t="str">
        <x:f>IF('Programmatic_SEO_Template'!Q78="","",'Programmatic_SEO_Template'!Q78)</x:f>
      </x:c>
      <x:c r="F78" s="117" t="str">
        <x:f>IF('Programmatic_SEO_Template'!S78="","",'Programmatic_SEO_Template'!S78)</x:f>
      </x:c>
      <x:c r="G78" s="117" t="str">
        <x:f>IF('Programmatic_SEO_Template'!T78="","",'Programmatic_SEO_Template'!T78)</x:f>
      </x:c>
    </x:row>
    <x:row r="79" ht="84" customHeight="1">
      <x:c r="A79" s="117" t="str">
        <x:f>IF('Programmatic_SEO_Template'!J79="","",'Programmatic_SEO_Template'!J79)</x:f>
      </x:c>
      <x:c r="B79" s="117" t="str">
        <x:f>IF('Programmatic_SEO_Template'!L79="","",'Programmatic_SEO_Template'!L79)</x:f>
      </x:c>
      <x:c r="C79" s="117" t="str">
        <x:f>IF('Programmatic_SEO_Template'!M79="","",'Programmatic_SEO_Template'!M79)</x:f>
      </x:c>
      <x:c r="D79" s="117" t="str">
        <x:f>IF('Programmatic_SEO_Template'!O79="","",'Programmatic_SEO_Template'!O79)</x:f>
      </x:c>
      <x:c r="E79" s="117" t="str">
        <x:f>IF('Programmatic_SEO_Template'!Q79="","",'Programmatic_SEO_Template'!Q79)</x:f>
      </x:c>
      <x:c r="F79" s="117" t="str">
        <x:f>IF('Programmatic_SEO_Template'!S79="","",'Programmatic_SEO_Template'!S79)</x:f>
      </x:c>
      <x:c r="G79" s="117" t="str">
        <x:f>IF('Programmatic_SEO_Template'!T79="","",'Programmatic_SEO_Template'!T79)</x:f>
      </x:c>
    </x:row>
    <x:row r="80" ht="84" customHeight="1">
      <x:c r="A80" s="117" t="str">
        <x:f>IF('Programmatic_SEO_Template'!J80="","",'Programmatic_SEO_Template'!J80)</x:f>
      </x:c>
      <x:c r="B80" s="117" t="str">
        <x:f>IF('Programmatic_SEO_Template'!L80="","",'Programmatic_SEO_Template'!L80)</x:f>
      </x:c>
      <x:c r="C80" s="117" t="str">
        <x:f>IF('Programmatic_SEO_Template'!M80="","",'Programmatic_SEO_Template'!M80)</x:f>
      </x:c>
      <x:c r="D80" s="117" t="str">
        <x:f>IF('Programmatic_SEO_Template'!O80="","",'Programmatic_SEO_Template'!O80)</x:f>
      </x:c>
      <x:c r="E80" s="117" t="str">
        <x:f>IF('Programmatic_SEO_Template'!Q80="","",'Programmatic_SEO_Template'!Q80)</x:f>
      </x:c>
      <x:c r="F80" s="117" t="str">
        <x:f>IF('Programmatic_SEO_Template'!S80="","",'Programmatic_SEO_Template'!S80)</x:f>
      </x:c>
      <x:c r="G80" s="117" t="str">
        <x:f>IF('Programmatic_SEO_Template'!T80="","",'Programmatic_SEO_Template'!T80)</x:f>
      </x:c>
    </x:row>
    <x:row r="81" ht="84" customHeight="1">
      <x:c r="A81" s="117" t="str">
        <x:f>IF('Programmatic_SEO_Template'!J81="","",'Programmatic_SEO_Template'!J81)</x:f>
      </x:c>
      <x:c r="B81" s="117" t="str">
        <x:f>IF('Programmatic_SEO_Template'!L81="","",'Programmatic_SEO_Template'!L81)</x:f>
      </x:c>
      <x:c r="C81" s="117" t="str">
        <x:f>IF('Programmatic_SEO_Template'!M81="","",'Programmatic_SEO_Template'!M81)</x:f>
      </x:c>
      <x:c r="D81" s="117" t="str">
        <x:f>IF('Programmatic_SEO_Template'!O81="","",'Programmatic_SEO_Template'!O81)</x:f>
      </x:c>
      <x:c r="E81" s="117" t="str">
        <x:f>IF('Programmatic_SEO_Template'!Q81="","",'Programmatic_SEO_Template'!Q81)</x:f>
      </x:c>
      <x:c r="F81" s="117" t="str">
        <x:f>IF('Programmatic_SEO_Template'!S81="","",'Programmatic_SEO_Template'!S81)</x:f>
      </x:c>
      <x:c r="G81" s="117" t="str">
        <x:f>IF('Programmatic_SEO_Template'!T81="","",'Programmatic_SEO_Template'!T81)</x:f>
      </x:c>
    </x:row>
    <x:row r="82" ht="84" customHeight="1">
      <x:c r="A82" s="117" t="str">
        <x:f>IF('Programmatic_SEO_Template'!J82="","",'Programmatic_SEO_Template'!J82)</x:f>
      </x:c>
      <x:c r="B82" s="117" t="str">
        <x:f>IF('Programmatic_SEO_Template'!L82="","",'Programmatic_SEO_Template'!L82)</x:f>
      </x:c>
      <x:c r="C82" s="117" t="str">
        <x:f>IF('Programmatic_SEO_Template'!M82="","",'Programmatic_SEO_Template'!M82)</x:f>
      </x:c>
      <x:c r="D82" s="117" t="str">
        <x:f>IF('Programmatic_SEO_Template'!O82="","",'Programmatic_SEO_Template'!O82)</x:f>
      </x:c>
      <x:c r="E82" s="117" t="str">
        <x:f>IF('Programmatic_SEO_Template'!Q82="","",'Programmatic_SEO_Template'!Q82)</x:f>
      </x:c>
      <x:c r="F82" s="117" t="str">
        <x:f>IF('Programmatic_SEO_Template'!S82="","",'Programmatic_SEO_Template'!S82)</x:f>
      </x:c>
      <x:c r="G82" s="117" t="str">
        <x:f>IF('Programmatic_SEO_Template'!T82="","",'Programmatic_SEO_Template'!T82)</x:f>
      </x:c>
    </x:row>
    <x:row r="83" ht="84" customHeight="1">
      <x:c r="A83" s="117" t="str">
        <x:f>IF('Programmatic_SEO_Template'!J83="","",'Programmatic_SEO_Template'!J83)</x:f>
      </x:c>
      <x:c r="B83" s="117" t="str">
        <x:f>IF('Programmatic_SEO_Template'!L83="","",'Programmatic_SEO_Template'!L83)</x:f>
      </x:c>
      <x:c r="C83" s="117" t="str">
        <x:f>IF('Programmatic_SEO_Template'!M83="","",'Programmatic_SEO_Template'!M83)</x:f>
      </x:c>
      <x:c r="D83" s="117" t="str">
        <x:f>IF('Programmatic_SEO_Template'!O83="","",'Programmatic_SEO_Template'!O83)</x:f>
      </x:c>
      <x:c r="E83" s="117" t="str">
        <x:f>IF('Programmatic_SEO_Template'!Q83="","",'Programmatic_SEO_Template'!Q83)</x:f>
      </x:c>
      <x:c r="F83" s="117" t="str">
        <x:f>IF('Programmatic_SEO_Template'!S83="","",'Programmatic_SEO_Template'!S83)</x:f>
      </x:c>
      <x:c r="G83" s="117" t="str">
        <x:f>IF('Programmatic_SEO_Template'!T83="","",'Programmatic_SEO_Template'!T83)</x:f>
      </x:c>
    </x:row>
    <x:row r="84" ht="84" customHeight="1">
      <x:c r="A84" s="117" t="str">
        <x:f>IF('Programmatic_SEO_Template'!J84="","",'Programmatic_SEO_Template'!J84)</x:f>
      </x:c>
      <x:c r="B84" s="117" t="str">
        <x:f>IF('Programmatic_SEO_Template'!L84="","",'Programmatic_SEO_Template'!L84)</x:f>
      </x:c>
      <x:c r="C84" s="117" t="str">
        <x:f>IF('Programmatic_SEO_Template'!M84="","",'Programmatic_SEO_Template'!M84)</x:f>
      </x:c>
      <x:c r="D84" s="117" t="str">
        <x:f>IF('Programmatic_SEO_Template'!O84="","",'Programmatic_SEO_Template'!O84)</x:f>
      </x:c>
      <x:c r="E84" s="117" t="str">
        <x:f>IF('Programmatic_SEO_Template'!Q84="","",'Programmatic_SEO_Template'!Q84)</x:f>
      </x:c>
      <x:c r="F84" s="117" t="str">
        <x:f>IF('Programmatic_SEO_Template'!S84="","",'Programmatic_SEO_Template'!S84)</x:f>
      </x:c>
      <x:c r="G84" s="117" t="str">
        <x:f>IF('Programmatic_SEO_Template'!T84="","",'Programmatic_SEO_Template'!T84)</x:f>
      </x:c>
    </x:row>
    <x:row r="85" ht="84" customHeight="1">
      <x:c r="A85" s="117" t="str">
        <x:f>IF('Programmatic_SEO_Template'!J85="","",'Programmatic_SEO_Template'!J85)</x:f>
      </x:c>
      <x:c r="B85" s="117" t="str">
        <x:f>IF('Programmatic_SEO_Template'!L85="","",'Programmatic_SEO_Template'!L85)</x:f>
      </x:c>
      <x:c r="C85" s="117" t="str">
        <x:f>IF('Programmatic_SEO_Template'!M85="","",'Programmatic_SEO_Template'!M85)</x:f>
      </x:c>
      <x:c r="D85" s="117" t="str">
        <x:f>IF('Programmatic_SEO_Template'!O85="","",'Programmatic_SEO_Template'!O85)</x:f>
      </x:c>
      <x:c r="E85" s="117" t="str">
        <x:f>IF('Programmatic_SEO_Template'!Q85="","",'Programmatic_SEO_Template'!Q85)</x:f>
      </x:c>
      <x:c r="F85" s="117" t="str">
        <x:f>IF('Programmatic_SEO_Template'!S85="","",'Programmatic_SEO_Template'!S85)</x:f>
      </x:c>
      <x:c r="G85" s="117" t="str">
        <x:f>IF('Programmatic_SEO_Template'!T85="","",'Programmatic_SEO_Template'!T85)</x:f>
      </x:c>
    </x:row>
    <x:row r="86" ht="84" customHeight="1">
      <x:c r="A86" s="117" t="str">
        <x:f>IF('Programmatic_SEO_Template'!J86="","",'Programmatic_SEO_Template'!J86)</x:f>
      </x:c>
      <x:c r="B86" s="117" t="str">
        <x:f>IF('Programmatic_SEO_Template'!L86="","",'Programmatic_SEO_Template'!L86)</x:f>
      </x:c>
      <x:c r="C86" s="117" t="str">
        <x:f>IF('Programmatic_SEO_Template'!M86="","",'Programmatic_SEO_Template'!M86)</x:f>
      </x:c>
      <x:c r="D86" s="117" t="str">
        <x:f>IF('Programmatic_SEO_Template'!O86="","",'Programmatic_SEO_Template'!O86)</x:f>
      </x:c>
      <x:c r="E86" s="117" t="str">
        <x:f>IF('Programmatic_SEO_Template'!Q86="","",'Programmatic_SEO_Template'!Q86)</x:f>
      </x:c>
      <x:c r="F86" s="117" t="str">
        <x:f>IF('Programmatic_SEO_Template'!S86="","",'Programmatic_SEO_Template'!S86)</x:f>
      </x:c>
      <x:c r="G86" s="117" t="str">
        <x:f>IF('Programmatic_SEO_Template'!T86="","",'Programmatic_SEO_Template'!T86)</x:f>
      </x:c>
    </x:row>
    <x:row r="87" ht="84" customHeight="1">
      <x:c r="A87" s="117" t="str">
        <x:f>IF('Programmatic_SEO_Template'!J87="","",'Programmatic_SEO_Template'!J87)</x:f>
      </x:c>
      <x:c r="B87" s="117" t="str">
        <x:f>IF('Programmatic_SEO_Template'!L87="","",'Programmatic_SEO_Template'!L87)</x:f>
      </x:c>
      <x:c r="C87" s="117" t="str">
        <x:f>IF('Programmatic_SEO_Template'!M87="","",'Programmatic_SEO_Template'!M87)</x:f>
      </x:c>
      <x:c r="D87" s="117" t="str">
        <x:f>IF('Programmatic_SEO_Template'!O87="","",'Programmatic_SEO_Template'!O87)</x:f>
      </x:c>
      <x:c r="E87" s="117" t="str">
        <x:f>IF('Programmatic_SEO_Template'!Q87="","",'Programmatic_SEO_Template'!Q87)</x:f>
      </x:c>
      <x:c r="F87" s="117" t="str">
        <x:f>IF('Programmatic_SEO_Template'!S87="","",'Programmatic_SEO_Template'!S87)</x:f>
      </x:c>
      <x:c r="G87" s="117" t="str">
        <x:f>IF('Programmatic_SEO_Template'!T87="","",'Programmatic_SEO_Template'!T87)</x:f>
      </x:c>
    </x:row>
    <x:row r="88" ht="84" customHeight="1">
      <x:c r="A88" s="117" t="str">
        <x:f>IF('Programmatic_SEO_Template'!J88="","",'Programmatic_SEO_Template'!J88)</x:f>
      </x:c>
      <x:c r="B88" s="117" t="str">
        <x:f>IF('Programmatic_SEO_Template'!L88="","",'Programmatic_SEO_Template'!L88)</x:f>
      </x:c>
      <x:c r="C88" s="117" t="str">
        <x:f>IF('Programmatic_SEO_Template'!M88="","",'Programmatic_SEO_Template'!M88)</x:f>
      </x:c>
      <x:c r="D88" s="117" t="str">
        <x:f>IF('Programmatic_SEO_Template'!O88="","",'Programmatic_SEO_Template'!O88)</x:f>
      </x:c>
      <x:c r="E88" s="117" t="str">
        <x:f>IF('Programmatic_SEO_Template'!Q88="","",'Programmatic_SEO_Template'!Q88)</x:f>
      </x:c>
      <x:c r="F88" s="117" t="str">
        <x:f>IF('Programmatic_SEO_Template'!S88="","",'Programmatic_SEO_Template'!S88)</x:f>
      </x:c>
      <x:c r="G88" s="117" t="str">
        <x:f>IF('Programmatic_SEO_Template'!T88="","",'Programmatic_SEO_Template'!T88)</x:f>
      </x:c>
    </x:row>
    <x:row r="89" ht="84" customHeight="1">
      <x:c r="A89" s="117" t="str">
        <x:f>IF('Programmatic_SEO_Template'!J89="","",'Programmatic_SEO_Template'!J89)</x:f>
      </x:c>
      <x:c r="B89" s="117" t="str">
        <x:f>IF('Programmatic_SEO_Template'!L89="","",'Programmatic_SEO_Template'!L89)</x:f>
      </x:c>
      <x:c r="C89" s="117" t="str">
        <x:f>IF('Programmatic_SEO_Template'!M89="","",'Programmatic_SEO_Template'!M89)</x:f>
      </x:c>
      <x:c r="D89" s="117" t="str">
        <x:f>IF('Programmatic_SEO_Template'!O89="","",'Programmatic_SEO_Template'!O89)</x:f>
      </x:c>
      <x:c r="E89" s="117" t="str">
        <x:f>IF('Programmatic_SEO_Template'!Q89="","",'Programmatic_SEO_Template'!Q89)</x:f>
      </x:c>
      <x:c r="F89" s="117" t="str">
        <x:f>IF('Programmatic_SEO_Template'!S89="","",'Programmatic_SEO_Template'!S89)</x:f>
      </x:c>
      <x:c r="G89" s="117" t="str">
        <x:f>IF('Programmatic_SEO_Template'!T89="","",'Programmatic_SEO_Template'!T89)</x:f>
      </x:c>
    </x:row>
    <x:row r="90" ht="84" customHeight="1">
      <x:c r="A90" s="117" t="str">
        <x:f>IF('Programmatic_SEO_Template'!J90="","",'Programmatic_SEO_Template'!J90)</x:f>
      </x:c>
      <x:c r="B90" s="117" t="str">
        <x:f>IF('Programmatic_SEO_Template'!L90="","",'Programmatic_SEO_Template'!L90)</x:f>
      </x:c>
      <x:c r="C90" s="117" t="str">
        <x:f>IF('Programmatic_SEO_Template'!M90="","",'Programmatic_SEO_Template'!M90)</x:f>
      </x:c>
      <x:c r="D90" s="117" t="str">
        <x:f>IF('Programmatic_SEO_Template'!O90="","",'Programmatic_SEO_Template'!O90)</x:f>
      </x:c>
      <x:c r="E90" s="117" t="str">
        <x:f>IF('Programmatic_SEO_Template'!Q90="","",'Programmatic_SEO_Template'!Q90)</x:f>
      </x:c>
      <x:c r="F90" s="117" t="str">
        <x:f>IF('Programmatic_SEO_Template'!S90="","",'Programmatic_SEO_Template'!S90)</x:f>
      </x:c>
      <x:c r="G90" s="117" t="str">
        <x:f>IF('Programmatic_SEO_Template'!T90="","",'Programmatic_SEO_Template'!T90)</x:f>
      </x:c>
    </x:row>
    <x:row r="91" ht="84" customHeight="1">
      <x:c r="A91" s="117" t="str">
        <x:f>IF('Programmatic_SEO_Template'!J91="","",'Programmatic_SEO_Template'!J91)</x:f>
      </x:c>
      <x:c r="B91" s="117" t="str">
        <x:f>IF('Programmatic_SEO_Template'!L91="","",'Programmatic_SEO_Template'!L91)</x:f>
      </x:c>
      <x:c r="C91" s="117" t="str">
        <x:f>IF('Programmatic_SEO_Template'!M91="","",'Programmatic_SEO_Template'!M91)</x:f>
      </x:c>
      <x:c r="D91" s="117" t="str">
        <x:f>IF('Programmatic_SEO_Template'!O91="","",'Programmatic_SEO_Template'!O91)</x:f>
      </x:c>
      <x:c r="E91" s="117" t="str">
        <x:f>IF('Programmatic_SEO_Template'!Q91="","",'Programmatic_SEO_Template'!Q91)</x:f>
      </x:c>
      <x:c r="F91" s="117" t="str">
        <x:f>IF('Programmatic_SEO_Template'!S91="","",'Programmatic_SEO_Template'!S91)</x:f>
      </x:c>
      <x:c r="G91" s="117" t="str">
        <x:f>IF('Programmatic_SEO_Template'!T91="","",'Programmatic_SEO_Template'!T91)</x:f>
      </x:c>
    </x:row>
    <x:row r="92" ht="84" customHeight="1">
      <x:c r="A92" s="117" t="str">
        <x:f>IF('Programmatic_SEO_Template'!J92="","",'Programmatic_SEO_Template'!J92)</x:f>
      </x:c>
      <x:c r="B92" s="117" t="str">
        <x:f>IF('Programmatic_SEO_Template'!L92="","",'Programmatic_SEO_Template'!L92)</x:f>
      </x:c>
      <x:c r="C92" s="117" t="str">
        <x:f>IF('Programmatic_SEO_Template'!M92="","",'Programmatic_SEO_Template'!M92)</x:f>
      </x:c>
      <x:c r="D92" s="117" t="str">
        <x:f>IF('Programmatic_SEO_Template'!O92="","",'Programmatic_SEO_Template'!O92)</x:f>
      </x:c>
      <x:c r="E92" s="117" t="str">
        <x:f>IF('Programmatic_SEO_Template'!Q92="","",'Programmatic_SEO_Template'!Q92)</x:f>
      </x:c>
      <x:c r="F92" s="117" t="str">
        <x:f>IF('Programmatic_SEO_Template'!S92="","",'Programmatic_SEO_Template'!S92)</x:f>
      </x:c>
      <x:c r="G92" s="117" t="str">
        <x:f>IF('Programmatic_SEO_Template'!T92="","",'Programmatic_SEO_Template'!T92)</x:f>
      </x:c>
    </x:row>
    <x:row r="93" ht="84" customHeight="1">
      <x:c r="A93" s="117" t="str">
        <x:f>IF('Programmatic_SEO_Template'!J93="","",'Programmatic_SEO_Template'!J93)</x:f>
      </x:c>
      <x:c r="B93" s="117" t="str">
        <x:f>IF('Programmatic_SEO_Template'!L93="","",'Programmatic_SEO_Template'!L93)</x:f>
      </x:c>
      <x:c r="C93" s="117" t="str">
        <x:f>IF('Programmatic_SEO_Template'!M93="","",'Programmatic_SEO_Template'!M93)</x:f>
      </x:c>
      <x:c r="D93" s="117" t="str">
        <x:f>IF('Programmatic_SEO_Template'!O93="","",'Programmatic_SEO_Template'!O93)</x:f>
      </x:c>
      <x:c r="E93" s="117" t="str">
        <x:f>IF('Programmatic_SEO_Template'!Q93="","",'Programmatic_SEO_Template'!Q93)</x:f>
      </x:c>
      <x:c r="F93" s="117" t="str">
        <x:f>IF('Programmatic_SEO_Template'!S93="","",'Programmatic_SEO_Template'!S93)</x:f>
      </x:c>
      <x:c r="G93" s="117" t="str">
        <x:f>IF('Programmatic_SEO_Template'!T93="","",'Programmatic_SEO_Template'!T93)</x:f>
      </x:c>
    </x:row>
    <x:row r="94" ht="84" customHeight="1">
      <x:c r="A94" s="117" t="str">
        <x:f>IF('Programmatic_SEO_Template'!J94="","",'Programmatic_SEO_Template'!J94)</x:f>
      </x:c>
      <x:c r="B94" s="117" t="str">
        <x:f>IF('Programmatic_SEO_Template'!L94="","",'Programmatic_SEO_Template'!L94)</x:f>
      </x:c>
      <x:c r="C94" s="117" t="str">
        <x:f>IF('Programmatic_SEO_Template'!M94="","",'Programmatic_SEO_Template'!M94)</x:f>
      </x:c>
      <x:c r="D94" s="117" t="str">
        <x:f>IF('Programmatic_SEO_Template'!O94="","",'Programmatic_SEO_Template'!O94)</x:f>
      </x:c>
      <x:c r="E94" s="117" t="str">
        <x:f>IF('Programmatic_SEO_Template'!Q94="","",'Programmatic_SEO_Template'!Q94)</x:f>
      </x:c>
      <x:c r="F94" s="117" t="str">
        <x:f>IF('Programmatic_SEO_Template'!S94="","",'Programmatic_SEO_Template'!S94)</x:f>
      </x:c>
      <x:c r="G94" s="117" t="str">
        <x:f>IF('Programmatic_SEO_Template'!T94="","",'Programmatic_SEO_Template'!T94)</x:f>
      </x:c>
    </x:row>
    <x:row r="95" ht="84" customHeight="1">
      <x:c r="A95" s="117" t="str">
        <x:f>IF('Programmatic_SEO_Template'!J95="","",'Programmatic_SEO_Template'!J95)</x:f>
      </x:c>
      <x:c r="B95" s="117" t="str">
        <x:f>IF('Programmatic_SEO_Template'!L95="","",'Programmatic_SEO_Template'!L95)</x:f>
      </x:c>
      <x:c r="C95" s="117" t="str">
        <x:f>IF('Programmatic_SEO_Template'!M95="","",'Programmatic_SEO_Template'!M95)</x:f>
      </x:c>
      <x:c r="D95" s="117" t="str">
        <x:f>IF('Programmatic_SEO_Template'!O95="","",'Programmatic_SEO_Template'!O95)</x:f>
      </x:c>
      <x:c r="E95" s="117" t="str">
        <x:f>IF('Programmatic_SEO_Template'!Q95="","",'Programmatic_SEO_Template'!Q95)</x:f>
      </x:c>
      <x:c r="F95" s="117" t="str">
        <x:f>IF('Programmatic_SEO_Template'!S95="","",'Programmatic_SEO_Template'!S95)</x:f>
      </x:c>
      <x:c r="G95" s="117" t="str">
        <x:f>IF('Programmatic_SEO_Template'!T95="","",'Programmatic_SEO_Template'!T95)</x:f>
      </x:c>
    </x:row>
    <x:row r="96" ht="84" customHeight="1">
      <x:c r="A96" s="117" t="str">
        <x:f>IF('Programmatic_SEO_Template'!J96="","",'Programmatic_SEO_Template'!J96)</x:f>
      </x:c>
      <x:c r="B96" s="117" t="str">
        <x:f>IF('Programmatic_SEO_Template'!L96="","",'Programmatic_SEO_Template'!L96)</x:f>
      </x:c>
      <x:c r="C96" s="117" t="str">
        <x:f>IF('Programmatic_SEO_Template'!M96="","",'Programmatic_SEO_Template'!M96)</x:f>
      </x:c>
      <x:c r="D96" s="117" t="str">
        <x:f>IF('Programmatic_SEO_Template'!O96="","",'Programmatic_SEO_Template'!O96)</x:f>
      </x:c>
      <x:c r="E96" s="117" t="str">
        <x:f>IF('Programmatic_SEO_Template'!Q96="","",'Programmatic_SEO_Template'!Q96)</x:f>
      </x:c>
      <x:c r="F96" s="117" t="str">
        <x:f>IF('Programmatic_SEO_Template'!S96="","",'Programmatic_SEO_Template'!S96)</x:f>
      </x:c>
      <x:c r="G96" s="117" t="str">
        <x:f>IF('Programmatic_SEO_Template'!T96="","",'Programmatic_SEO_Template'!T96)</x:f>
      </x:c>
    </x:row>
    <x:row r="97" ht="84" customHeight="1">
      <x:c r="A97" s="117" t="str">
        <x:f>IF('Programmatic_SEO_Template'!J97="","",'Programmatic_SEO_Template'!J97)</x:f>
      </x:c>
      <x:c r="B97" s="117" t="str">
        <x:f>IF('Programmatic_SEO_Template'!L97="","",'Programmatic_SEO_Template'!L97)</x:f>
      </x:c>
      <x:c r="C97" s="117" t="str">
        <x:f>IF('Programmatic_SEO_Template'!M97="","",'Programmatic_SEO_Template'!M97)</x:f>
      </x:c>
      <x:c r="D97" s="117" t="str">
        <x:f>IF('Programmatic_SEO_Template'!O97="","",'Programmatic_SEO_Template'!O97)</x:f>
      </x:c>
      <x:c r="E97" s="117" t="str">
        <x:f>IF('Programmatic_SEO_Template'!Q97="","",'Programmatic_SEO_Template'!Q97)</x:f>
      </x:c>
      <x:c r="F97" s="117" t="str">
        <x:f>IF('Programmatic_SEO_Template'!S97="","",'Programmatic_SEO_Template'!S97)</x:f>
      </x:c>
      <x:c r="G97" s="117" t="str">
        <x:f>IF('Programmatic_SEO_Template'!T97="","",'Programmatic_SEO_Template'!T97)</x:f>
      </x:c>
    </x:row>
    <x:row r="98" ht="84" customHeight="1">
      <x:c r="A98" s="117" t="str">
        <x:f>IF('Programmatic_SEO_Template'!J98="","",'Programmatic_SEO_Template'!J98)</x:f>
      </x:c>
      <x:c r="B98" s="117" t="str">
        <x:f>IF('Programmatic_SEO_Template'!L98="","",'Programmatic_SEO_Template'!L98)</x:f>
      </x:c>
      <x:c r="C98" s="117" t="str">
        <x:f>IF('Programmatic_SEO_Template'!M98="","",'Programmatic_SEO_Template'!M98)</x:f>
      </x:c>
      <x:c r="D98" s="117" t="str">
        <x:f>IF('Programmatic_SEO_Template'!O98="","",'Programmatic_SEO_Template'!O98)</x:f>
      </x:c>
      <x:c r="E98" s="117" t="str">
        <x:f>IF('Programmatic_SEO_Template'!Q98="","",'Programmatic_SEO_Template'!Q98)</x:f>
      </x:c>
      <x:c r="F98" s="117" t="str">
        <x:f>IF('Programmatic_SEO_Template'!S98="","",'Programmatic_SEO_Template'!S98)</x:f>
      </x:c>
      <x:c r="G98" s="117" t="str">
        <x:f>IF('Programmatic_SEO_Template'!T98="","",'Programmatic_SEO_Template'!T98)</x:f>
      </x:c>
    </x:row>
    <x:row r="99" ht="84" customHeight="1">
      <x:c r="A99" s="117" t="str">
        <x:f>IF('Programmatic_SEO_Template'!J99="","",'Programmatic_SEO_Template'!J99)</x:f>
      </x:c>
      <x:c r="B99" s="117" t="str">
        <x:f>IF('Programmatic_SEO_Template'!L99="","",'Programmatic_SEO_Template'!L99)</x:f>
      </x:c>
      <x:c r="C99" s="117" t="str">
        <x:f>IF('Programmatic_SEO_Template'!M99="","",'Programmatic_SEO_Template'!M99)</x:f>
      </x:c>
      <x:c r="D99" s="117" t="str">
        <x:f>IF('Programmatic_SEO_Template'!O99="","",'Programmatic_SEO_Template'!O99)</x:f>
      </x:c>
      <x:c r="E99" s="117" t="str">
        <x:f>IF('Programmatic_SEO_Template'!Q99="","",'Programmatic_SEO_Template'!Q99)</x:f>
      </x:c>
      <x:c r="F99" s="117" t="str">
        <x:f>IF('Programmatic_SEO_Template'!S99="","",'Programmatic_SEO_Template'!S99)</x:f>
      </x:c>
      <x:c r="G99" s="117" t="str">
        <x:f>IF('Programmatic_SEO_Template'!T99="","",'Programmatic_SEO_Template'!T99)</x:f>
      </x:c>
    </x:row>
    <x:row r="100" ht="84" customHeight="1">
      <x:c r="A100" s="117" t="str">
        <x:f>IF('Programmatic_SEO_Template'!J100="","",'Programmatic_SEO_Template'!J100)</x:f>
      </x:c>
      <x:c r="B100" s="117" t="str">
        <x:f>IF('Programmatic_SEO_Template'!L100="","",'Programmatic_SEO_Template'!L100)</x:f>
      </x:c>
      <x:c r="C100" s="117" t="str">
        <x:f>IF('Programmatic_SEO_Template'!M100="","",'Programmatic_SEO_Template'!M100)</x:f>
      </x:c>
      <x:c r="D100" s="117" t="str">
        <x:f>IF('Programmatic_SEO_Template'!O100="","",'Programmatic_SEO_Template'!O100)</x:f>
      </x:c>
      <x:c r="E100" s="117" t="str">
        <x:f>IF('Programmatic_SEO_Template'!Q100="","",'Programmatic_SEO_Template'!Q100)</x:f>
      </x:c>
      <x:c r="F100" s="117" t="str">
        <x:f>IF('Programmatic_SEO_Template'!S100="","",'Programmatic_SEO_Template'!S100)</x:f>
      </x:c>
      <x:c r="G100" s="117" t="str">
        <x:f>IF('Programmatic_SEO_Template'!T100="","",'Programmatic_SEO_Template'!T100)</x:f>
      </x:c>
    </x:row>
    <x:row r="101" ht="84" customHeight="1">
      <x:c r="A101" s="117" t="str">
        <x:f>IF('Programmatic_SEO_Template'!J101="","",'Programmatic_SEO_Template'!J101)</x:f>
      </x:c>
      <x:c r="B101" s="117" t="str">
        <x:f>IF('Programmatic_SEO_Template'!L101="","",'Programmatic_SEO_Template'!L101)</x:f>
      </x:c>
      <x:c r="C101" s="117" t="str">
        <x:f>IF('Programmatic_SEO_Template'!M101="","",'Programmatic_SEO_Template'!M101)</x:f>
      </x:c>
      <x:c r="D101" s="117" t="str">
        <x:f>IF('Programmatic_SEO_Template'!O101="","",'Programmatic_SEO_Template'!O101)</x:f>
      </x:c>
      <x:c r="E101" s="117" t="str">
        <x:f>IF('Programmatic_SEO_Template'!Q101="","",'Programmatic_SEO_Template'!Q101)</x:f>
      </x:c>
      <x:c r="F101" s="117" t="str">
        <x:f>IF('Programmatic_SEO_Template'!S101="","",'Programmatic_SEO_Template'!S101)</x:f>
      </x:c>
      <x:c r="G101" s="117" t="str">
        <x:f>IF('Programmatic_SEO_Template'!T101="","",'Programmatic_SEO_Template'!T101)</x:f>
      </x:c>
    </x:row>
  </x:sheetData>
  <x:pageMargins left="0.7" right="0.7" top="0.75" bottom="0.75" header="0.3" footer="0.3"/>
  <x:tableParts count="1">
    <x:tablePart xmlns:r="http://schemas.openxmlformats.org/officeDocument/2006/relationships" r:id="Ra6de69258c9d4c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92" hidden="0" customWidth="1"/>
  </x:cols>
  <x:sheetData>
    <x:row r="1">
      <x:c r="A1" s="124" t="str">
        <x:v>BlogFactory Programmatic SEO Template</x:v>
      </x:c>
    </x:row>
    <x:row r="3" ht="42" customHeight="1">
      <x:c r="A3" s="118" t="str">
        <x:v>Alan</x:v>
      </x:c>
      <x:c r="B3" s="118" t="str">
        <x:v>Değer</x:v>
      </x:c>
    </x:row>
    <x:row r="4" ht="42" customHeight="1">
      <x:c r="A4" s="134" t="str">
        <x:v>Ana çalışma sekmesi</x:v>
      </x:c>
      <x:c r="B4" s="117" t="str">
        <x:v>Programmatic_SEO_Template</x:v>
      </x:c>
    </x:row>
    <x:row r="5" ht="42" customHeight="1">
      <x:c r="A5" s="134" t="str">
        <x:v>BlogFactory import sekmesi</x:v>
      </x:c>
      <x:c r="B5" s="117" t="str">
        <x:v>BlogFactory_Import!A:G</x:v>
      </x:c>
    </x:row>
    <x:row r="6" ht="42" customHeight="1">
      <x:c r="A6" s="134" t="str">
        <x:v>Satır modeli</x:v>
      </x:c>
      <x:c r="B6" s="117" t="str">
        <x:v>Her satır tek bağımsız blog briefidir.</x:v>
      </x:c>
    </x:row>
    <x:row r="7" ht="42" customHeight="1">
      <x:c r="A7" s="134" t="str">
        <x:v>Zorunlu alanlar</x:v>
      </x:c>
      <x:c r="B7" s="117" t="str">
        <x:v>H1, primary keyword, search intent, meta title, meta description, outline, CTA</x:v>
      </x:c>
    </x:row>
    <x:row r="8" ht="42" customHeight="1">
      <x:c r="A8" s="134" t="str">
        <x:v>QA kuralı</x:v>
      </x:c>
      <x:c r="B8" s="117" t="str">
        <x:v>Meta title &lt;= 60; meta description 140-160 karakter.</x:v>
      </x:c>
    </x:row>
    <x:row r="9" ht="42" customHeight="1">
      <x:c r="A9" s="134" t="str">
        <x:v>İç link kuralı</x:v>
      </x:c>
      <x:c r="B9" s="117" t="str">
        <x:v>Yayınlanmamış URL için kırık link ekleme; editör görevi bırak.</x:v>
      </x:c>
    </x:row>
    <x:row r="10" ht="42" customHeight="1">
      <x:c r="A10" s="134" t="str">
        <x:v>Kaynak kuralı</x:v>
      </x:c>
      <x:c r="B10" s="117" t="str">
        <x:v>Resmi/birincil kaynakları kullan; ürün iddialarını yayın günü doğrula.</x:v>
      </x:c>
    </x:row>
    <x:row r="11" ht="42" customHeight="1">
      <x:c r="A11" s="117"/>
      <x:c r="B11" s="117"/>
    </x:row>
    <x:row r="12" ht="42" customHeight="1">
      <x:c r="A12" s="132" t="str">
        <x:v>Programmatic alan</x:v>
      </x:c>
      <x:c r="B12" s="132" t="str">
        <x:v>Nasıl kullanılır</x:v>
      </x:c>
    </x:row>
    <x:row r="13" ht="42" customHeight="1">
      <x:c r="A13" s="136" t="str">
        <x:v>Cluster</x:v>
      </x:c>
      <x:c r="B13" s="117" t="str">
        <x:v>Aynı pillar altında üretilecek sayfa ailesi.</x:v>
      </x:c>
    </x:row>
    <x:row r="14" ht="42" customHeight="1">
      <x:c r="A14" s="136" t="str">
        <x:v>Funnel</x:v>
      </x:c>
      <x:c r="B14" s="117" t="str">
        <x:v>Farkındalık, değerlendirme veya karar niyeti.</x:v>
      </x:c>
    </x:row>
    <x:row r="15" ht="42" customHeight="1">
      <x:c r="A15" s="136" t="str">
        <x:v>Page type</x:v>
      </x:c>
      <x:c r="B15" s="117" t="str">
        <x:v>What is, how-to, pillar, list post veya best-of.</x:v>
      </x:c>
    </x:row>
    <x:row r="16" ht="42" customHeight="1">
      <x:c r="A16" s="136" t="str">
        <x:v>URL path</x:v>
      </x:c>
      <x:c r="B16" s="117" t="str">
        <x:v>Yayın URL deseni; slug değişirse güncelle.</x:v>
      </x:c>
    </x:row>
    <x:row r="17" ht="42" customHeight="1">
      <x:c r="A17" s="136" t="str">
        <x:v>Proprietary data requirement</x:v>
      </x:c>
      <x:c r="B17" s="117" t="str">
        <x:v>Yazıya eklenecek özgün test, tablo veya ölçüm görevi.</x:v>
      </x:c>
    </x:row>
    <x:row r="18" ht="42" customHeight="1">
      <x:c r="A18" s="136" t="str">
        <x:v>BlogFactory_Import</x:v>
      </x:c>
      <x:c r="B18" s="117" t="str">
        <x:v>Sadece A:G kolonlarını içeri al; geri kalan kolonlar operasyon kontrolüdür.</x:v>
      </x:c>
    </x:row>
  </x:sheetData>
  <x:mergeCells>
    <x:mergeCell ref="A1:F1"/>
  </x:mergeCells>
  <x:pageMargins left="0.7" right="0.7" top="0.75" bottom="0.75" header="0.3" footer="0.3"/>
</x:worksheet>
</file>